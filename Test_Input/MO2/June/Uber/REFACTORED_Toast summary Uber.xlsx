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Uber\"/>
    </mc:Choice>
  </mc:AlternateContent>
  <xr:revisionPtr revIDLastSave="0" documentId="8_{EEEFEFE5-253F-45AA-ADF5-ACCAB08EDD0E}" xr6:coauthVersionLast="47" xr6:coauthVersionMax="47" xr10:uidLastSave="{00000000-0000-0000-0000-000000000000}"/>
  <bookViews>
    <workbookView xWindow="1605" yWindow="4710" windowWidth="24525" windowHeight="15435" xr2:uid="{C86C6036-CAC5-4848-AD26-0AD72CABC274}"/>
  </bookViews>
  <sheets>
    <sheet name="REFACTORED_Toast summary Uber" sheetId="1" r:id="rId1"/>
  </sheets>
  <calcPr calcId="0"/>
</workbook>
</file>

<file path=xl/calcChain.xml><?xml version="1.0" encoding="utf-8"?>
<calcChain xmlns="http://schemas.openxmlformats.org/spreadsheetml/2006/main">
  <c r="D50" i="1" l="1"/>
  <c r="D49" i="1"/>
</calcChain>
</file>

<file path=xl/sharedStrings.xml><?xml version="1.0" encoding="utf-8"?>
<sst xmlns="http://schemas.openxmlformats.org/spreadsheetml/2006/main" count="125" uniqueCount="82">
  <si>
    <t>BUSINESS_DAY</t>
  </si>
  <si>
    <t>CHANNEL</t>
  </si>
  <si>
    <t>CHECK_COUNT</t>
  </si>
  <si>
    <t>CHECK_NET_AMOUNT</t>
  </si>
  <si>
    <t>DEFERRED_ITEM_DISCOUNT_AMOUNT</t>
  </si>
  <si>
    <t>DEFERRED_ITEM_GROSS_AMOUNT</t>
  </si>
  <si>
    <t>DEFERRED_ITEM_NET_AMOUNT</t>
  </si>
  <si>
    <t>DEFERRED_ITEM_QUANTITY</t>
  </si>
  <si>
    <t>DEFERRED_ITEM_REFUND_AMOUNT</t>
  </si>
  <si>
    <t>DEFERRED_ITEM_TAX_AMOUNT</t>
  </si>
  <si>
    <t>DISCOUNT_AMOUNT</t>
  </si>
  <si>
    <t>DISCOUNT_COUNT</t>
  </si>
  <si>
    <t>GROSS_SALES</t>
  </si>
  <si>
    <t>GUEST_COUNT</t>
  </si>
  <si>
    <t>ITEM_GROSS_AMOUNT</t>
  </si>
  <si>
    <t>ITEM_NET_AMOUNT</t>
  </si>
  <si>
    <t>ITEM_QUANTITY</t>
  </si>
  <si>
    <t>ITEM_REFUND_AMOUNT</t>
  </si>
  <si>
    <t>ITEM_TAX_AMOUNT</t>
  </si>
  <si>
    <t>ITEM_UPSOLD_AMOUNT</t>
  </si>
  <si>
    <t>NET_SALES</t>
  </si>
  <si>
    <t>ORDER_COUNT</t>
  </si>
  <si>
    <t>ORDER_DURATION</t>
  </si>
  <si>
    <t>ORDER_NET_AMOUNT</t>
  </si>
  <si>
    <t>ORDERS_WITH_VOIDS_COUNT</t>
  </si>
  <si>
    <t>REFUND_AMOUNT</t>
  </si>
  <si>
    <t>SALES_AFTER_DISCOUNTS</t>
  </si>
  <si>
    <t>SUB_ITEM_QUANTITY</t>
  </si>
  <si>
    <t>SUB_ITEM_UPSOLD_AMOUNT</t>
  </si>
  <si>
    <t>TAX_AMOUNT</t>
  </si>
  <si>
    <t>TOTAL_QUANTITY_SOLD</t>
  </si>
  <si>
    <t>TOTAL_UPSOLD_AMOUNT</t>
  </si>
  <si>
    <t>UPSELL_CONVERSION_RATE</t>
  </si>
  <si>
    <t>VOID_AMOUNT</t>
  </si>
  <si>
    <t>VOIDED_ITEM_QUANTITY</t>
  </si>
  <si>
    <t>Third-Party-Online</t>
  </si>
  <si>
    <t>6/13/26</t>
  </si>
  <si>
    <t>6/14/26</t>
  </si>
  <si>
    <t>6/15/26</t>
  </si>
  <si>
    <t>6/16/26</t>
  </si>
  <si>
    <t>6/17/26</t>
  </si>
  <si>
    <t>6/18/26</t>
  </si>
  <si>
    <t>6/19/26</t>
  </si>
  <si>
    <t>6/20/26</t>
  </si>
  <si>
    <t>6/21/26</t>
  </si>
  <si>
    <t>6/23/26</t>
  </si>
  <si>
    <t>6/24/26</t>
  </si>
  <si>
    <t>6/25/26</t>
  </si>
  <si>
    <t>6/26/26</t>
  </si>
  <si>
    <t>6/27/26</t>
  </si>
  <si>
    <t>6/28/26</t>
  </si>
  <si>
    <t>6/29/26</t>
  </si>
  <si>
    <t>6/30/26</t>
  </si>
  <si>
    <t>7/13/26</t>
  </si>
  <si>
    <t>7/14/26</t>
  </si>
  <si>
    <t>7/15/26</t>
  </si>
  <si>
    <t>6/1/26</t>
  </si>
  <si>
    <t>6/10/26</t>
  </si>
  <si>
    <t>6/11/26</t>
  </si>
  <si>
    <t>6/12/26</t>
  </si>
  <si>
    <t>6/2/26</t>
  </si>
  <si>
    <t>6/3/26</t>
  </si>
  <si>
    <t>6/4/26</t>
  </si>
  <si>
    <t>6/5/26</t>
  </si>
  <si>
    <t>6/6/26</t>
  </si>
  <si>
    <t>6/7/26</t>
  </si>
  <si>
    <t>6/8/26</t>
  </si>
  <si>
    <t>6/9/26</t>
  </si>
  <si>
    <t>7/1/26</t>
  </si>
  <si>
    <t>7/10/26</t>
  </si>
  <si>
    <t>7/11/26</t>
  </si>
  <si>
    <t>7/12/26</t>
  </si>
  <si>
    <t>7/2/26</t>
  </si>
  <si>
    <t>7/3/26</t>
  </si>
  <si>
    <t>7/4/26</t>
  </si>
  <si>
    <t>7/5/26</t>
  </si>
  <si>
    <t>7/6/26</t>
  </si>
  <si>
    <t>7/7/26</t>
  </si>
  <si>
    <t>7/8/26</t>
  </si>
  <si>
    <t>7/9/26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</si>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</sst>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65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676F5-44E4-4842-BF8C-D1DF2FAF0E6E}" name="Table1" displayName="Table1" ref="A1:AE45" totalsRowShown="0">
  <autoFilter ref="A1:AE45" xr:uid="{E6B676F5-44E4-4842-BF8C-D1DF2FAF0E6E}"/>
  <sortState xmlns:xlrd2="http://schemas.microsoft.com/office/spreadsheetml/2017/richdata2" ref="A2:AE45">
    <sortCondition ref="A1:A45"/>
  </sortState>
  <tableColumns count="31">
    <tableColumn id="1" xr3:uid="{451DF136-1A5A-48BC-AA47-CDA1438010C3}" name="BUSINESS_DAY" dataDxfId="1"/>
    <tableColumn id="2" xr3:uid="{2571F27F-DF06-45A4-8A35-9116F8B710E8}" name="CHANNEL"/>
    <tableColumn id="3" xr3:uid="{3A0DDB47-C28C-47E5-B5AA-4F7E586E2EDB}" name="CHECK_COUNT"/>
    <tableColumn id="4" xr3:uid="{228150EF-25D5-4517-8498-4C6588D6BCB2}" name="CHECK_NET_AMOUNT"/>
    <tableColumn id="5" xr3:uid="{5EC15173-83F8-442A-BC82-0FB4FBC2CE3F}" name="DEFERRED_ITEM_DISCOUNT_AMOUNT"/>
    <tableColumn id="6" xr3:uid="{BD59EDE0-0156-45D6-878E-8583EDB94B6D}" name="DEFERRED_ITEM_GROSS_AMOUNT"/>
    <tableColumn id="7" xr3:uid="{D5B0AF60-3F07-44EB-8BF1-0B4F51807FCC}" name="DEFERRED_ITEM_NET_AMOUNT"/>
    <tableColumn id="8" xr3:uid="{D5470D37-251B-4962-ADA0-B035590349C1}" name="DEFERRED_ITEM_QUANTITY"/>
    <tableColumn id="9" xr3:uid="{0C54FBC3-2630-45EF-8FBA-6B2B4AC717A5}" name="DEFERRED_ITEM_REFUND_AMOUNT"/>
    <tableColumn id="10" xr3:uid="{2FD6B531-360E-464A-AE20-E95196405EF3}" name="DEFERRED_ITEM_TAX_AMOUNT"/>
    <tableColumn id="11" xr3:uid="{5975E0FD-456F-4835-A1DC-248D52C93152}" name="DISCOUNT_AMOUNT"/>
    <tableColumn id="12" xr3:uid="{60848C04-9110-4DFD-8380-4D99D96CE12F}" name="DISCOUNT_COUNT"/>
    <tableColumn id="13" xr3:uid="{4192674F-136D-4DF8-A387-EAF51E74635C}" name="GROSS_SALES"/>
    <tableColumn id="14" xr3:uid="{998F5F73-4514-41D5-B336-859FC045232C}" name="GUEST_COUNT"/>
    <tableColumn id="15" xr3:uid="{C19CDC76-A7B0-44E4-A0FA-DC357075F173}" name="ITEM_GROSS_AMOUNT"/>
    <tableColumn id="16" xr3:uid="{ED3384E4-4938-404D-98F2-918176A12FDA}" name="ITEM_NET_AMOUNT"/>
    <tableColumn id="17" xr3:uid="{585DC3D9-5100-4D75-8D79-680061043670}" name="ITEM_QUANTITY"/>
    <tableColumn id="18" xr3:uid="{BC2F2616-C502-4CED-971E-D4A46CC2E313}" name="ITEM_REFUND_AMOUNT"/>
    <tableColumn id="19" xr3:uid="{C8186D5A-0806-4AC0-8E7E-73C3308E5324}" name="ITEM_TAX_AMOUNT"/>
    <tableColumn id="20" xr3:uid="{937AF2A5-2A9B-424A-8D2E-C23359BAD2F5}" name="ITEM_UPSOLD_AMOUNT"/>
    <tableColumn id="21" xr3:uid="{59E59000-41BF-4732-97E0-856D7135B206}" name="NET_SALES"/>
    <tableColumn id="22" xr3:uid="{49B16B9B-1AC7-4C93-AEBC-6D06F3D77D76}" name="ORDER_COUNT"/>
    <tableColumn id="23" xr3:uid="{4EE4AE77-3322-4C3D-9337-50B6B93ED811}" name="ORDER_DURATION" dataDxfId="0"/>
    <tableColumn id="24" xr3:uid="{41809A21-6A2D-463B-9E0B-FF3EE20F78B6}" name="ORDER_NET_AMOUNT"/>
    <tableColumn id="25" xr3:uid="{45A30E61-5730-43C8-99E3-41CA33B99EB6}" name="ORDERS_WITH_VOIDS_COUNT"/>
    <tableColumn id="26" xr3:uid="{CE4D66D8-8283-4279-BF5D-EE3EF968BD1C}" name="REFUND_AMOUNT"/>
    <tableColumn id="27" xr3:uid="{FBE2BC80-EEED-45C7-B516-8A592E7E931E}" name="SALES_AFTER_DISCOUNTS"/>
    <tableColumn id="28" xr3:uid="{4C2B0FBC-9140-45CC-AAC3-71AEC9B7F8C2}" name="SUB_ITEM_QUANTITY"/>
    <tableColumn id="29" xr3:uid="{822A09B0-AB35-40E3-86F4-BD3D0B9F1F24}" name="SUB_ITEM_UPSOLD_AMOUNT"/>
    <tableColumn id="30" xr3:uid="{65C9EE45-C8E3-4960-9DA0-4C28A5C13286}" name="TAX_AMOUNT"/>
    <tableColumn id="31" xr3:uid="{D83F6AA5-42FA-4205-B7A4-767DD73A61DB}" name="TOTAL_QUANTITY_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179-84C2-4E1F-920D-2DBBADB7837C}">
  <dimension ref="A1:AI50"/>
  <sheetViews>
    <sheetView tabSelected="1" topLeftCell="A22" workbookViewId="0">
      <selection activeCell="P51" sqref="P51"/>
    </sheetView>
  </sheetViews>
  <sheetFormatPr defaultRowHeight="15" x14ac:dyDescent="0.25"/>
  <cols>
    <col min="1" max="1" width="18.7109375" customWidth="1"/>
    <col min="2" max="2" width="11.5703125" customWidth="1"/>
    <col min="3" max="3" width="5" customWidth="1"/>
    <col min="4" max="4" width="10.7109375" customWidth="1"/>
    <col min="5" max="5" width="37.140625" hidden="1" customWidth="1"/>
    <col min="6" max="6" width="33.85546875" hidden="1" customWidth="1"/>
    <col min="7" max="7" width="31.28515625" hidden="1" customWidth="1"/>
    <col min="8" max="8" width="27.7109375" hidden="1" customWidth="1"/>
    <col min="9" max="9" width="35.140625" hidden="1" customWidth="1"/>
    <col min="10" max="10" width="31.28515625" hidden="1" customWidth="1"/>
    <col min="11" max="11" width="5.5703125" customWidth="1"/>
    <col min="12" max="12" width="13.140625" hidden="1" customWidth="1"/>
    <col min="13" max="13" width="11.85546875" customWidth="1"/>
    <col min="14" max="14" width="6.7109375" customWidth="1"/>
    <col min="15" max="15" width="9" customWidth="1"/>
    <col min="16" max="16" width="8.85546875" customWidth="1"/>
    <col min="17" max="17" width="7" customWidth="1"/>
    <col min="18" max="18" width="7.140625" customWidth="1"/>
    <col min="19" max="19" width="6" customWidth="1"/>
    <col min="20" max="20" width="25.140625" hidden="1" customWidth="1"/>
    <col min="21" max="21" width="12.7109375" customWidth="1"/>
    <col min="22" max="22" width="6.42578125" customWidth="1"/>
    <col min="23" max="23" width="9.28515625" customWidth="1"/>
    <col min="24" max="24" width="9" customWidth="1"/>
    <col min="25" max="25" width="30" hidden="1" customWidth="1"/>
    <col min="26" max="26" width="6.7109375" customWidth="1"/>
    <col min="27" max="27" width="12.85546875" customWidth="1"/>
    <col min="28" max="28" width="6.85546875" customWidth="1"/>
    <col min="29" max="29" width="29.7109375" hidden="1" customWidth="1"/>
    <col min="30" max="30" width="8.7109375" customWidth="1"/>
    <col min="31" max="31" width="8.1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2" t="s">
        <v>56</v>
      </c>
      <c r="B2" t="s">
        <v>35</v>
      </c>
      <c r="C2">
        <v>4</v>
      </c>
      <c r="D2">
        <v>70.540000000000006</v>
      </c>
      <c r="K2">
        <v>0</v>
      </c>
      <c r="M2">
        <v>70.540000000000006</v>
      </c>
      <c r="N2">
        <v>4</v>
      </c>
      <c r="O2">
        <v>70.540000000000006</v>
      </c>
      <c r="P2">
        <v>70.540000000000006</v>
      </c>
      <c r="Q2">
        <v>9</v>
      </c>
      <c r="R2">
        <v>0</v>
      </c>
      <c r="S2">
        <v>5.82</v>
      </c>
      <c r="U2">
        <v>70.540000000000006</v>
      </c>
      <c r="V2">
        <v>4</v>
      </c>
      <c r="W2" s="1">
        <v>0</v>
      </c>
      <c r="X2">
        <v>70.540000000000006</v>
      </c>
      <c r="Z2">
        <v>0</v>
      </c>
      <c r="AA2">
        <v>70.540000000000006</v>
      </c>
      <c r="AB2">
        <v>22</v>
      </c>
      <c r="AD2">
        <v>5.82</v>
      </c>
      <c r="AE2">
        <v>31</v>
      </c>
    </row>
    <row r="3" spans="1:35" x14ac:dyDescent="0.25">
      <c r="A3" s="2" t="s">
        <v>57</v>
      </c>
      <c r="B3" t="s">
        <v>35</v>
      </c>
      <c r="C3">
        <v>6</v>
      </c>
      <c r="D3">
        <v>118.47</v>
      </c>
      <c r="K3">
        <v>0</v>
      </c>
      <c r="M3">
        <v>118.47</v>
      </c>
      <c r="N3">
        <v>6</v>
      </c>
      <c r="O3">
        <v>118.47</v>
      </c>
      <c r="P3">
        <v>118.47</v>
      </c>
      <c r="Q3">
        <v>13</v>
      </c>
      <c r="R3">
        <v>0</v>
      </c>
      <c r="S3">
        <v>9.77</v>
      </c>
      <c r="U3">
        <v>118.47</v>
      </c>
      <c r="V3">
        <v>6</v>
      </c>
      <c r="W3" s="1">
        <v>0</v>
      </c>
      <c r="X3">
        <v>118.47</v>
      </c>
      <c r="Z3">
        <v>0</v>
      </c>
      <c r="AA3">
        <v>118.47</v>
      </c>
      <c r="AB3">
        <v>30</v>
      </c>
      <c r="AD3">
        <v>9.77</v>
      </c>
      <c r="AE3">
        <v>43</v>
      </c>
    </row>
    <row r="4" spans="1:35" x14ac:dyDescent="0.25">
      <c r="A4" s="2" t="s">
        <v>58</v>
      </c>
      <c r="B4" t="s">
        <v>35</v>
      </c>
      <c r="C4">
        <v>6</v>
      </c>
      <c r="D4">
        <v>176.96</v>
      </c>
      <c r="K4">
        <v>0</v>
      </c>
      <c r="M4">
        <v>176.96</v>
      </c>
      <c r="N4">
        <v>6</v>
      </c>
      <c r="O4">
        <v>176.96</v>
      </c>
      <c r="P4">
        <v>176.96</v>
      </c>
      <c r="Q4">
        <v>17</v>
      </c>
      <c r="R4">
        <v>0</v>
      </c>
      <c r="S4">
        <v>14.6</v>
      </c>
      <c r="U4">
        <v>176.96</v>
      </c>
      <c r="V4">
        <v>6</v>
      </c>
      <c r="W4" s="1">
        <v>0</v>
      </c>
      <c r="X4">
        <v>176.96</v>
      </c>
      <c r="Z4">
        <v>0</v>
      </c>
      <c r="AA4">
        <v>176.96</v>
      </c>
      <c r="AB4">
        <v>36</v>
      </c>
      <c r="AD4">
        <v>14.6</v>
      </c>
      <c r="AE4">
        <v>53</v>
      </c>
    </row>
    <row r="5" spans="1:35" x14ac:dyDescent="0.25">
      <c r="A5" s="2" t="s">
        <v>59</v>
      </c>
      <c r="B5" t="s">
        <v>35</v>
      </c>
      <c r="C5">
        <v>6</v>
      </c>
      <c r="D5">
        <v>161.49</v>
      </c>
      <c r="K5">
        <v>0</v>
      </c>
      <c r="M5">
        <v>161.49</v>
      </c>
      <c r="N5">
        <v>6</v>
      </c>
      <c r="O5">
        <v>161.49</v>
      </c>
      <c r="P5">
        <v>161.49</v>
      </c>
      <c r="Q5">
        <v>23</v>
      </c>
      <c r="R5">
        <v>0</v>
      </c>
      <c r="S5">
        <v>13.32</v>
      </c>
      <c r="U5">
        <v>161.49</v>
      </c>
      <c r="V5">
        <v>6</v>
      </c>
      <c r="W5" s="1">
        <v>0</v>
      </c>
      <c r="X5">
        <v>161.49</v>
      </c>
      <c r="Z5">
        <v>0</v>
      </c>
      <c r="AA5">
        <v>161.49</v>
      </c>
      <c r="AB5">
        <v>29</v>
      </c>
      <c r="AD5">
        <v>13.32</v>
      </c>
      <c r="AE5">
        <v>52</v>
      </c>
    </row>
    <row r="6" spans="1:35" x14ac:dyDescent="0.25">
      <c r="A6" s="2" t="s">
        <v>36</v>
      </c>
      <c r="B6" t="s">
        <v>35</v>
      </c>
      <c r="C6">
        <v>6</v>
      </c>
      <c r="D6">
        <v>205.37</v>
      </c>
      <c r="K6">
        <v>0</v>
      </c>
      <c r="M6">
        <v>205.37</v>
      </c>
      <c r="N6">
        <v>6</v>
      </c>
      <c r="O6">
        <v>205.37</v>
      </c>
      <c r="P6">
        <v>205.37</v>
      </c>
      <c r="Q6">
        <v>29</v>
      </c>
      <c r="R6">
        <v>0</v>
      </c>
      <c r="S6">
        <v>16.95</v>
      </c>
      <c r="U6">
        <v>205.37</v>
      </c>
      <c r="V6">
        <v>6</v>
      </c>
      <c r="W6" s="1">
        <v>0</v>
      </c>
      <c r="X6">
        <v>205.37</v>
      </c>
      <c r="Z6">
        <v>0</v>
      </c>
      <c r="AA6">
        <v>205.37</v>
      </c>
      <c r="AB6">
        <v>38</v>
      </c>
      <c r="AD6">
        <v>16.95</v>
      </c>
      <c r="AE6">
        <v>67</v>
      </c>
    </row>
    <row r="7" spans="1:35" x14ac:dyDescent="0.25">
      <c r="A7" s="2" t="s">
        <v>37</v>
      </c>
      <c r="B7" t="s">
        <v>35</v>
      </c>
      <c r="C7">
        <v>5</v>
      </c>
      <c r="D7">
        <v>151.97</v>
      </c>
      <c r="K7">
        <v>0</v>
      </c>
      <c r="M7">
        <v>151.97</v>
      </c>
      <c r="N7">
        <v>5</v>
      </c>
      <c r="O7">
        <v>151.97</v>
      </c>
      <c r="P7">
        <v>151.97</v>
      </c>
      <c r="Q7">
        <v>14</v>
      </c>
      <c r="R7">
        <v>0</v>
      </c>
      <c r="S7">
        <v>12.54</v>
      </c>
      <c r="U7">
        <v>151.97</v>
      </c>
      <c r="V7">
        <v>5</v>
      </c>
      <c r="W7" s="1">
        <v>0</v>
      </c>
      <c r="X7">
        <v>151.97</v>
      </c>
      <c r="Z7">
        <v>0</v>
      </c>
      <c r="AA7">
        <v>151.97</v>
      </c>
      <c r="AB7">
        <v>48</v>
      </c>
      <c r="AD7">
        <v>12.54</v>
      </c>
      <c r="AE7">
        <v>62</v>
      </c>
    </row>
    <row r="8" spans="1:35" x14ac:dyDescent="0.25">
      <c r="A8" s="2" t="s">
        <v>38</v>
      </c>
      <c r="B8" t="s">
        <v>35</v>
      </c>
      <c r="C8">
        <v>4</v>
      </c>
      <c r="D8">
        <v>93.2</v>
      </c>
      <c r="K8">
        <v>0</v>
      </c>
      <c r="M8">
        <v>93.2</v>
      </c>
      <c r="N8">
        <v>4</v>
      </c>
      <c r="O8">
        <v>93.2</v>
      </c>
      <c r="P8">
        <v>93.2</v>
      </c>
      <c r="Q8">
        <v>13</v>
      </c>
      <c r="R8">
        <v>0</v>
      </c>
      <c r="S8">
        <v>7.69</v>
      </c>
      <c r="U8">
        <v>93.2</v>
      </c>
      <c r="V8">
        <v>4</v>
      </c>
      <c r="W8" s="1">
        <v>0</v>
      </c>
      <c r="X8">
        <v>93.2</v>
      </c>
      <c r="Z8">
        <v>0</v>
      </c>
      <c r="AA8">
        <v>93.2</v>
      </c>
      <c r="AB8">
        <v>23</v>
      </c>
      <c r="AD8">
        <v>7.69</v>
      </c>
      <c r="AE8">
        <v>36</v>
      </c>
    </row>
    <row r="9" spans="1:35" x14ac:dyDescent="0.25">
      <c r="A9" s="2" t="s">
        <v>39</v>
      </c>
      <c r="B9" t="s">
        <v>35</v>
      </c>
      <c r="C9">
        <v>3</v>
      </c>
      <c r="D9">
        <v>41.32</v>
      </c>
      <c r="K9">
        <v>0</v>
      </c>
      <c r="M9">
        <v>41.32</v>
      </c>
      <c r="N9">
        <v>3</v>
      </c>
      <c r="O9">
        <v>41.32</v>
      </c>
      <c r="P9">
        <v>41.32</v>
      </c>
      <c r="Q9">
        <v>8</v>
      </c>
      <c r="R9">
        <v>0</v>
      </c>
      <c r="S9">
        <v>3.4</v>
      </c>
      <c r="U9">
        <v>41.32</v>
      </c>
      <c r="V9">
        <v>3</v>
      </c>
      <c r="W9" s="1">
        <v>0</v>
      </c>
      <c r="X9">
        <v>41.32</v>
      </c>
      <c r="Z9">
        <v>0</v>
      </c>
      <c r="AA9">
        <v>41.32</v>
      </c>
      <c r="AB9">
        <v>7</v>
      </c>
      <c r="AD9">
        <v>3.4</v>
      </c>
      <c r="AE9">
        <v>15</v>
      </c>
    </row>
    <row r="10" spans="1:35" x14ac:dyDescent="0.25">
      <c r="A10" s="2" t="s">
        <v>40</v>
      </c>
      <c r="B10" t="s">
        <v>35</v>
      </c>
      <c r="C10">
        <v>5</v>
      </c>
      <c r="D10">
        <v>111.36</v>
      </c>
      <c r="K10">
        <v>0</v>
      </c>
      <c r="M10">
        <v>111.36</v>
      </c>
      <c r="N10">
        <v>5</v>
      </c>
      <c r="O10">
        <v>111.36</v>
      </c>
      <c r="P10">
        <v>111.36</v>
      </c>
      <c r="Q10">
        <v>12</v>
      </c>
      <c r="R10">
        <v>0</v>
      </c>
      <c r="S10">
        <v>9.18</v>
      </c>
      <c r="U10">
        <v>111.36</v>
      </c>
      <c r="V10">
        <v>5</v>
      </c>
      <c r="W10" s="1">
        <v>0</v>
      </c>
      <c r="X10">
        <v>111.36</v>
      </c>
      <c r="Z10">
        <v>0</v>
      </c>
      <c r="AA10">
        <v>111.36</v>
      </c>
      <c r="AB10">
        <v>17</v>
      </c>
      <c r="AD10">
        <v>9.18</v>
      </c>
      <c r="AE10">
        <v>29</v>
      </c>
    </row>
    <row r="11" spans="1:35" x14ac:dyDescent="0.25">
      <c r="A11" s="2" t="s">
        <v>41</v>
      </c>
      <c r="B11" t="s">
        <v>35</v>
      </c>
      <c r="C11">
        <v>7</v>
      </c>
      <c r="D11">
        <v>211.33</v>
      </c>
      <c r="K11">
        <v>0</v>
      </c>
      <c r="M11">
        <v>211.33</v>
      </c>
      <c r="N11">
        <v>7</v>
      </c>
      <c r="O11">
        <v>211.33</v>
      </c>
      <c r="P11">
        <v>211.33</v>
      </c>
      <c r="Q11">
        <v>22</v>
      </c>
      <c r="R11">
        <v>0</v>
      </c>
      <c r="S11">
        <v>17.43</v>
      </c>
      <c r="U11">
        <v>211.33</v>
      </c>
      <c r="V11">
        <v>7</v>
      </c>
      <c r="W11" s="1">
        <v>0</v>
      </c>
      <c r="X11">
        <v>211.33</v>
      </c>
      <c r="Z11">
        <v>0</v>
      </c>
      <c r="AA11">
        <v>211.33</v>
      </c>
      <c r="AB11">
        <v>46</v>
      </c>
      <c r="AD11">
        <v>17.43</v>
      </c>
      <c r="AE11">
        <v>68</v>
      </c>
    </row>
    <row r="12" spans="1:35" x14ac:dyDescent="0.25">
      <c r="A12" s="2" t="s">
        <v>42</v>
      </c>
      <c r="B12" t="s">
        <v>35</v>
      </c>
      <c r="C12">
        <v>6</v>
      </c>
      <c r="D12">
        <v>197.92</v>
      </c>
      <c r="K12">
        <v>0</v>
      </c>
      <c r="M12">
        <v>197.92</v>
      </c>
      <c r="N12">
        <v>6</v>
      </c>
      <c r="O12">
        <v>197.92</v>
      </c>
      <c r="P12">
        <v>197.92</v>
      </c>
      <c r="Q12">
        <v>26</v>
      </c>
      <c r="R12">
        <v>0</v>
      </c>
      <c r="S12">
        <v>16.34</v>
      </c>
      <c r="U12">
        <v>197.92</v>
      </c>
      <c r="V12">
        <v>6</v>
      </c>
      <c r="W12" s="1">
        <v>0</v>
      </c>
      <c r="X12">
        <v>197.92</v>
      </c>
      <c r="Z12">
        <v>0</v>
      </c>
      <c r="AA12">
        <v>197.92</v>
      </c>
      <c r="AB12">
        <v>33</v>
      </c>
      <c r="AD12">
        <v>16.34</v>
      </c>
      <c r="AE12">
        <v>59</v>
      </c>
    </row>
    <row r="13" spans="1:35" x14ac:dyDescent="0.25">
      <c r="A13" s="2" t="s">
        <v>60</v>
      </c>
      <c r="B13" t="s">
        <v>35</v>
      </c>
      <c r="C13">
        <v>7</v>
      </c>
      <c r="D13">
        <v>239.17</v>
      </c>
      <c r="K13">
        <v>0</v>
      </c>
      <c r="M13">
        <v>239.17</v>
      </c>
      <c r="N13">
        <v>7</v>
      </c>
      <c r="O13">
        <v>239.17</v>
      </c>
      <c r="P13">
        <v>239.17</v>
      </c>
      <c r="Q13">
        <v>28</v>
      </c>
      <c r="R13">
        <v>0</v>
      </c>
      <c r="S13">
        <v>19.73</v>
      </c>
      <c r="U13">
        <v>239.17</v>
      </c>
      <c r="V13">
        <v>7</v>
      </c>
      <c r="W13" s="1">
        <v>0</v>
      </c>
      <c r="X13">
        <v>239.17</v>
      </c>
      <c r="Z13">
        <v>0</v>
      </c>
      <c r="AA13">
        <v>239.17</v>
      </c>
      <c r="AB13">
        <v>57</v>
      </c>
      <c r="AD13">
        <v>19.73</v>
      </c>
      <c r="AE13">
        <v>85</v>
      </c>
    </row>
    <row r="14" spans="1:35" x14ac:dyDescent="0.25">
      <c r="A14" s="2" t="s">
        <v>43</v>
      </c>
      <c r="B14" t="s">
        <v>35</v>
      </c>
      <c r="C14">
        <v>5</v>
      </c>
      <c r="D14">
        <v>139.81</v>
      </c>
      <c r="K14">
        <v>0</v>
      </c>
      <c r="M14">
        <v>139.81</v>
      </c>
      <c r="N14">
        <v>5</v>
      </c>
      <c r="O14">
        <v>139.81</v>
      </c>
      <c r="P14">
        <v>139.81</v>
      </c>
      <c r="Q14">
        <v>17</v>
      </c>
      <c r="R14">
        <v>0</v>
      </c>
      <c r="S14">
        <v>11.54</v>
      </c>
      <c r="U14">
        <v>139.81</v>
      </c>
      <c r="V14">
        <v>5</v>
      </c>
      <c r="W14" s="1">
        <v>0</v>
      </c>
      <c r="X14">
        <v>139.81</v>
      </c>
      <c r="Z14">
        <v>0</v>
      </c>
      <c r="AA14">
        <v>139.81</v>
      </c>
      <c r="AB14">
        <v>18</v>
      </c>
      <c r="AD14">
        <v>11.54</v>
      </c>
      <c r="AE14">
        <v>35</v>
      </c>
    </row>
    <row r="15" spans="1:35" x14ac:dyDescent="0.25">
      <c r="A15" s="2" t="s">
        <v>44</v>
      </c>
      <c r="B15" t="s">
        <v>35</v>
      </c>
      <c r="C15">
        <v>7</v>
      </c>
      <c r="D15">
        <v>204.9</v>
      </c>
      <c r="K15">
        <v>0</v>
      </c>
      <c r="M15">
        <v>204.9</v>
      </c>
      <c r="N15">
        <v>7</v>
      </c>
      <c r="O15">
        <v>204.9</v>
      </c>
      <c r="P15">
        <v>204.9</v>
      </c>
      <c r="Q15">
        <v>21</v>
      </c>
      <c r="R15">
        <v>0</v>
      </c>
      <c r="S15">
        <v>16.899999999999999</v>
      </c>
      <c r="U15">
        <v>204.9</v>
      </c>
      <c r="V15">
        <v>7</v>
      </c>
      <c r="W15" s="1">
        <v>0</v>
      </c>
      <c r="X15">
        <v>204.9</v>
      </c>
      <c r="Z15">
        <v>0</v>
      </c>
      <c r="AA15">
        <v>204.9</v>
      </c>
      <c r="AB15">
        <v>36</v>
      </c>
      <c r="AD15">
        <v>16.899999999999999</v>
      </c>
      <c r="AE15">
        <v>57</v>
      </c>
    </row>
    <row r="16" spans="1:35" x14ac:dyDescent="0.25">
      <c r="A16" s="2" t="s">
        <v>45</v>
      </c>
      <c r="B16" t="s">
        <v>35</v>
      </c>
      <c r="C16">
        <v>3</v>
      </c>
      <c r="D16">
        <v>96.7</v>
      </c>
      <c r="K16">
        <v>0</v>
      </c>
      <c r="M16">
        <v>96.7</v>
      </c>
      <c r="N16">
        <v>3</v>
      </c>
      <c r="O16">
        <v>96.7</v>
      </c>
      <c r="P16">
        <v>96.7</v>
      </c>
      <c r="Q16">
        <v>9</v>
      </c>
      <c r="R16">
        <v>0</v>
      </c>
      <c r="S16">
        <v>7.97</v>
      </c>
      <c r="U16">
        <v>96.7</v>
      </c>
      <c r="V16">
        <v>3</v>
      </c>
      <c r="W16" s="1">
        <v>0</v>
      </c>
      <c r="X16">
        <v>96.7</v>
      </c>
      <c r="Z16">
        <v>0</v>
      </c>
      <c r="AA16">
        <v>96.7</v>
      </c>
      <c r="AB16">
        <v>20</v>
      </c>
      <c r="AD16">
        <v>7.97</v>
      </c>
      <c r="AE16">
        <v>29</v>
      </c>
    </row>
    <row r="17" spans="1:31" x14ac:dyDescent="0.25">
      <c r="A17" s="2" t="s">
        <v>46</v>
      </c>
      <c r="B17" t="s">
        <v>35</v>
      </c>
      <c r="C17">
        <v>6</v>
      </c>
      <c r="D17">
        <v>155.31</v>
      </c>
      <c r="K17">
        <v>0</v>
      </c>
      <c r="M17">
        <v>155.31</v>
      </c>
      <c r="N17">
        <v>6</v>
      </c>
      <c r="O17">
        <v>155.31</v>
      </c>
      <c r="P17">
        <v>155.31</v>
      </c>
      <c r="Q17">
        <v>21</v>
      </c>
      <c r="R17">
        <v>0</v>
      </c>
      <c r="S17">
        <v>12.81</v>
      </c>
      <c r="U17">
        <v>155.31</v>
      </c>
      <c r="V17">
        <v>6</v>
      </c>
      <c r="W17" s="1">
        <v>0</v>
      </c>
      <c r="X17">
        <v>155.31</v>
      </c>
      <c r="Z17">
        <v>0</v>
      </c>
      <c r="AA17">
        <v>155.31</v>
      </c>
      <c r="AB17">
        <v>42</v>
      </c>
      <c r="AD17">
        <v>12.81</v>
      </c>
      <c r="AE17">
        <v>63</v>
      </c>
    </row>
    <row r="18" spans="1:31" x14ac:dyDescent="0.25">
      <c r="A18" s="2" t="s">
        <v>47</v>
      </c>
      <c r="B18" t="s">
        <v>35</v>
      </c>
      <c r="C18">
        <v>3</v>
      </c>
      <c r="D18">
        <v>58.41</v>
      </c>
      <c r="K18">
        <v>0</v>
      </c>
      <c r="M18">
        <v>58.41</v>
      </c>
      <c r="N18">
        <v>3</v>
      </c>
      <c r="O18">
        <v>58.41</v>
      </c>
      <c r="P18">
        <v>58.41</v>
      </c>
      <c r="Q18">
        <v>11</v>
      </c>
      <c r="R18">
        <v>0</v>
      </c>
      <c r="S18">
        <v>4.82</v>
      </c>
      <c r="U18">
        <v>58.41</v>
      </c>
      <c r="V18">
        <v>3</v>
      </c>
      <c r="W18" s="1">
        <v>0</v>
      </c>
      <c r="X18">
        <v>58.41</v>
      </c>
      <c r="Z18">
        <v>0</v>
      </c>
      <c r="AA18">
        <v>58.41</v>
      </c>
      <c r="AB18">
        <v>16</v>
      </c>
      <c r="AD18">
        <v>4.82</v>
      </c>
      <c r="AE18">
        <v>27</v>
      </c>
    </row>
    <row r="19" spans="1:31" x14ac:dyDescent="0.25">
      <c r="A19" s="2" t="s">
        <v>48</v>
      </c>
      <c r="B19" t="s">
        <v>35</v>
      </c>
      <c r="C19">
        <v>3</v>
      </c>
      <c r="D19">
        <v>106.85</v>
      </c>
      <c r="K19">
        <v>0</v>
      </c>
      <c r="M19">
        <v>106.85</v>
      </c>
      <c r="N19">
        <v>3</v>
      </c>
      <c r="O19">
        <v>106.85</v>
      </c>
      <c r="P19">
        <v>106.85</v>
      </c>
      <c r="Q19">
        <v>17</v>
      </c>
      <c r="R19">
        <v>0</v>
      </c>
      <c r="S19">
        <v>8.82</v>
      </c>
      <c r="U19">
        <v>106.85</v>
      </c>
      <c r="V19">
        <v>3</v>
      </c>
      <c r="W19" s="1">
        <v>0</v>
      </c>
      <c r="X19">
        <v>106.85</v>
      </c>
      <c r="Z19">
        <v>0</v>
      </c>
      <c r="AA19">
        <v>106.85</v>
      </c>
      <c r="AB19">
        <v>19</v>
      </c>
      <c r="AD19">
        <v>8.82</v>
      </c>
      <c r="AE19">
        <v>36</v>
      </c>
    </row>
    <row r="20" spans="1:31" x14ac:dyDescent="0.25">
      <c r="A20" s="2" t="s">
        <v>49</v>
      </c>
      <c r="B20" t="s">
        <v>35</v>
      </c>
      <c r="C20">
        <v>5</v>
      </c>
      <c r="D20">
        <v>103.51</v>
      </c>
      <c r="K20">
        <v>0</v>
      </c>
      <c r="M20">
        <v>103.51</v>
      </c>
      <c r="N20">
        <v>5</v>
      </c>
      <c r="O20">
        <v>103.51</v>
      </c>
      <c r="P20">
        <v>103.51</v>
      </c>
      <c r="Q20">
        <v>15</v>
      </c>
      <c r="R20">
        <v>0</v>
      </c>
      <c r="S20">
        <v>8.5399999999999991</v>
      </c>
      <c r="U20">
        <v>103.51</v>
      </c>
      <c r="V20">
        <v>5</v>
      </c>
      <c r="W20" s="1">
        <v>0</v>
      </c>
      <c r="X20">
        <v>103.51</v>
      </c>
      <c r="Z20">
        <v>0</v>
      </c>
      <c r="AA20">
        <v>103.51</v>
      </c>
      <c r="AB20">
        <v>18</v>
      </c>
      <c r="AD20">
        <v>8.5399999999999991</v>
      </c>
      <c r="AE20">
        <v>33</v>
      </c>
    </row>
    <row r="21" spans="1:31" x14ac:dyDescent="0.25">
      <c r="A21" s="2" t="s">
        <v>50</v>
      </c>
      <c r="B21" t="s">
        <v>35</v>
      </c>
      <c r="C21">
        <v>6</v>
      </c>
      <c r="D21">
        <v>236.04</v>
      </c>
      <c r="K21">
        <v>0</v>
      </c>
      <c r="M21">
        <v>236.04</v>
      </c>
      <c r="N21">
        <v>6</v>
      </c>
      <c r="O21">
        <v>236.04</v>
      </c>
      <c r="P21">
        <v>236.04</v>
      </c>
      <c r="Q21">
        <v>24</v>
      </c>
      <c r="R21">
        <v>0</v>
      </c>
      <c r="S21">
        <v>19.48</v>
      </c>
      <c r="U21">
        <v>236.04</v>
      </c>
      <c r="V21">
        <v>6</v>
      </c>
      <c r="W21" s="1">
        <v>0</v>
      </c>
      <c r="X21">
        <v>236.04</v>
      </c>
      <c r="Z21">
        <v>0</v>
      </c>
      <c r="AA21">
        <v>236.04</v>
      </c>
      <c r="AB21">
        <v>48</v>
      </c>
      <c r="AD21">
        <v>19.48</v>
      </c>
      <c r="AE21">
        <v>72</v>
      </c>
    </row>
    <row r="22" spans="1:31" x14ac:dyDescent="0.25">
      <c r="A22" s="2" t="s">
        <v>51</v>
      </c>
      <c r="B22" t="s">
        <v>35</v>
      </c>
      <c r="C22">
        <v>3</v>
      </c>
      <c r="D22">
        <v>65.31</v>
      </c>
      <c r="K22">
        <v>0</v>
      </c>
      <c r="M22">
        <v>65.31</v>
      </c>
      <c r="N22">
        <v>3</v>
      </c>
      <c r="O22">
        <v>65.31</v>
      </c>
      <c r="P22">
        <v>65.31</v>
      </c>
      <c r="Q22">
        <v>6</v>
      </c>
      <c r="R22">
        <v>0</v>
      </c>
      <c r="S22">
        <v>5.39</v>
      </c>
      <c r="U22">
        <v>65.31</v>
      </c>
      <c r="V22">
        <v>3</v>
      </c>
      <c r="W22" s="1">
        <v>0</v>
      </c>
      <c r="X22">
        <v>65.31</v>
      </c>
      <c r="Z22">
        <v>0</v>
      </c>
      <c r="AA22">
        <v>65.31</v>
      </c>
      <c r="AB22">
        <v>13</v>
      </c>
      <c r="AD22">
        <v>5.39</v>
      </c>
      <c r="AE22">
        <v>19</v>
      </c>
    </row>
    <row r="23" spans="1:31" x14ac:dyDescent="0.25">
      <c r="A23" s="2" t="s">
        <v>61</v>
      </c>
      <c r="B23" t="s">
        <v>35</v>
      </c>
      <c r="C23">
        <v>5</v>
      </c>
      <c r="D23">
        <v>135.28</v>
      </c>
      <c r="K23">
        <v>0</v>
      </c>
      <c r="M23">
        <v>135.28</v>
      </c>
      <c r="N23">
        <v>5</v>
      </c>
      <c r="O23">
        <v>135.28</v>
      </c>
      <c r="P23">
        <v>135.28</v>
      </c>
      <c r="Q23">
        <v>16</v>
      </c>
      <c r="R23">
        <v>0</v>
      </c>
      <c r="S23">
        <v>11.16</v>
      </c>
      <c r="U23">
        <v>135.28</v>
      </c>
      <c r="V23">
        <v>5</v>
      </c>
      <c r="W23" s="1">
        <v>0</v>
      </c>
      <c r="X23">
        <v>135.28</v>
      </c>
      <c r="Z23">
        <v>0</v>
      </c>
      <c r="AA23">
        <v>135.28</v>
      </c>
      <c r="AB23">
        <v>31</v>
      </c>
      <c r="AD23">
        <v>11.16</v>
      </c>
      <c r="AE23">
        <v>47</v>
      </c>
    </row>
    <row r="24" spans="1:31" x14ac:dyDescent="0.25">
      <c r="A24" s="2" t="s">
        <v>52</v>
      </c>
      <c r="B24" t="s">
        <v>35</v>
      </c>
      <c r="C24">
        <v>2</v>
      </c>
      <c r="D24">
        <v>48.12</v>
      </c>
      <c r="K24">
        <v>0</v>
      </c>
      <c r="M24">
        <v>48.12</v>
      </c>
      <c r="N24">
        <v>2</v>
      </c>
      <c r="O24">
        <v>48.12</v>
      </c>
      <c r="P24">
        <v>48.12</v>
      </c>
      <c r="Q24">
        <v>6</v>
      </c>
      <c r="R24">
        <v>0</v>
      </c>
      <c r="S24">
        <v>3.97</v>
      </c>
      <c r="U24">
        <v>48.12</v>
      </c>
      <c r="V24">
        <v>2</v>
      </c>
      <c r="W24" s="1">
        <v>0</v>
      </c>
      <c r="X24">
        <v>48.12</v>
      </c>
      <c r="Z24">
        <v>0</v>
      </c>
      <c r="AA24">
        <v>48.12</v>
      </c>
      <c r="AB24">
        <v>10</v>
      </c>
      <c r="AD24">
        <v>3.97</v>
      </c>
      <c r="AE24">
        <v>16</v>
      </c>
    </row>
    <row r="25" spans="1:31" x14ac:dyDescent="0.25">
      <c r="A25" s="2" t="s">
        <v>62</v>
      </c>
      <c r="B25" t="s">
        <v>35</v>
      </c>
      <c r="C25">
        <v>5</v>
      </c>
      <c r="D25">
        <v>122.04</v>
      </c>
      <c r="K25">
        <v>0</v>
      </c>
      <c r="M25">
        <v>122.04</v>
      </c>
      <c r="N25">
        <v>5</v>
      </c>
      <c r="O25">
        <v>122.04</v>
      </c>
      <c r="P25">
        <v>122.04</v>
      </c>
      <c r="Q25">
        <v>15</v>
      </c>
      <c r="R25">
        <v>0</v>
      </c>
      <c r="S25">
        <v>10.06</v>
      </c>
      <c r="U25">
        <v>122.04</v>
      </c>
      <c r="V25">
        <v>5</v>
      </c>
      <c r="W25" s="1">
        <v>0</v>
      </c>
      <c r="X25">
        <v>122.04</v>
      </c>
      <c r="Z25">
        <v>0</v>
      </c>
      <c r="AA25">
        <v>122.04</v>
      </c>
      <c r="AB25">
        <v>25</v>
      </c>
      <c r="AD25">
        <v>10.06</v>
      </c>
      <c r="AE25">
        <v>40</v>
      </c>
    </row>
    <row r="26" spans="1:31" x14ac:dyDescent="0.25">
      <c r="A26" s="2" t="s">
        <v>63</v>
      </c>
      <c r="B26" t="s">
        <v>35</v>
      </c>
      <c r="C26">
        <v>4</v>
      </c>
      <c r="D26">
        <v>144.06</v>
      </c>
      <c r="K26">
        <v>0</v>
      </c>
      <c r="M26">
        <v>144.06</v>
      </c>
      <c r="N26">
        <v>4</v>
      </c>
      <c r="O26">
        <v>144.06</v>
      </c>
      <c r="P26">
        <v>144.06</v>
      </c>
      <c r="Q26">
        <v>13</v>
      </c>
      <c r="R26">
        <v>0</v>
      </c>
      <c r="S26">
        <v>11.88</v>
      </c>
      <c r="U26">
        <v>144.06</v>
      </c>
      <c r="V26">
        <v>4</v>
      </c>
      <c r="W26" s="1">
        <v>0</v>
      </c>
      <c r="X26">
        <v>144.06</v>
      </c>
      <c r="Z26">
        <v>0</v>
      </c>
      <c r="AA26">
        <v>144.06</v>
      </c>
      <c r="AB26">
        <v>26</v>
      </c>
      <c r="AD26">
        <v>11.88</v>
      </c>
      <c r="AE26">
        <v>39</v>
      </c>
    </row>
    <row r="27" spans="1:31" x14ac:dyDescent="0.25">
      <c r="A27" s="2" t="s">
        <v>64</v>
      </c>
      <c r="B27" t="s">
        <v>35</v>
      </c>
      <c r="C27">
        <v>10</v>
      </c>
      <c r="D27">
        <v>336.88</v>
      </c>
      <c r="K27">
        <v>0</v>
      </c>
      <c r="M27">
        <v>336.88</v>
      </c>
      <c r="N27">
        <v>10</v>
      </c>
      <c r="O27">
        <v>336.88</v>
      </c>
      <c r="P27">
        <v>336.88</v>
      </c>
      <c r="Q27">
        <v>41</v>
      </c>
      <c r="R27">
        <v>0</v>
      </c>
      <c r="S27">
        <v>27.79</v>
      </c>
      <c r="U27">
        <v>336.88</v>
      </c>
      <c r="V27">
        <v>10</v>
      </c>
      <c r="W27" s="1">
        <v>0</v>
      </c>
      <c r="X27">
        <v>336.88</v>
      </c>
      <c r="Z27">
        <v>0</v>
      </c>
      <c r="AA27">
        <v>336.88</v>
      </c>
      <c r="AB27">
        <v>76</v>
      </c>
      <c r="AD27">
        <v>27.79</v>
      </c>
      <c r="AE27">
        <v>117</v>
      </c>
    </row>
    <row r="28" spans="1:31" x14ac:dyDescent="0.25">
      <c r="A28" s="2" t="s">
        <v>65</v>
      </c>
      <c r="B28" t="s">
        <v>35</v>
      </c>
      <c r="C28">
        <v>5</v>
      </c>
      <c r="D28">
        <v>153.57</v>
      </c>
      <c r="K28">
        <v>0</v>
      </c>
      <c r="M28">
        <v>153.57</v>
      </c>
      <c r="N28">
        <v>5</v>
      </c>
      <c r="O28">
        <v>153.57</v>
      </c>
      <c r="P28">
        <v>153.57</v>
      </c>
      <c r="Q28">
        <v>22</v>
      </c>
      <c r="R28">
        <v>0</v>
      </c>
      <c r="S28">
        <v>12.67</v>
      </c>
      <c r="U28">
        <v>153.57</v>
      </c>
      <c r="V28">
        <v>5</v>
      </c>
      <c r="W28" s="1">
        <v>0</v>
      </c>
      <c r="X28">
        <v>153.57</v>
      </c>
      <c r="Z28">
        <v>0</v>
      </c>
      <c r="AA28">
        <v>153.57</v>
      </c>
      <c r="AB28">
        <v>42</v>
      </c>
      <c r="AD28">
        <v>12.67</v>
      </c>
      <c r="AE28">
        <v>64</v>
      </c>
    </row>
    <row r="29" spans="1:31" x14ac:dyDescent="0.25">
      <c r="A29" s="2" t="s">
        <v>66</v>
      </c>
      <c r="B29" t="s">
        <v>35</v>
      </c>
      <c r="C29">
        <v>1</v>
      </c>
      <c r="D29">
        <v>23.33</v>
      </c>
      <c r="K29">
        <v>0</v>
      </c>
      <c r="M29">
        <v>23.33</v>
      </c>
      <c r="N29">
        <v>1</v>
      </c>
      <c r="O29">
        <v>23.33</v>
      </c>
      <c r="P29">
        <v>23.33</v>
      </c>
      <c r="Q29">
        <v>3</v>
      </c>
      <c r="R29">
        <v>0</v>
      </c>
      <c r="S29">
        <v>1.92</v>
      </c>
      <c r="U29">
        <v>23.33</v>
      </c>
      <c r="V29">
        <v>1</v>
      </c>
      <c r="W29" s="1">
        <v>0</v>
      </c>
      <c r="X29">
        <v>23.33</v>
      </c>
      <c r="Z29">
        <v>0</v>
      </c>
      <c r="AA29">
        <v>23.33</v>
      </c>
      <c r="AB29">
        <v>6</v>
      </c>
      <c r="AD29">
        <v>1.92</v>
      </c>
      <c r="AE29">
        <v>9</v>
      </c>
    </row>
    <row r="30" spans="1:31" x14ac:dyDescent="0.25">
      <c r="A30" s="2" t="s">
        <v>67</v>
      </c>
      <c r="B30" t="s">
        <v>35</v>
      </c>
      <c r="C30">
        <v>2</v>
      </c>
      <c r="D30">
        <v>25.24</v>
      </c>
      <c r="K30">
        <v>0</v>
      </c>
      <c r="M30">
        <v>25.24</v>
      </c>
      <c r="N30">
        <v>2</v>
      </c>
      <c r="O30">
        <v>25.24</v>
      </c>
      <c r="P30">
        <v>25.24</v>
      </c>
      <c r="Q30">
        <v>2</v>
      </c>
      <c r="R30">
        <v>0</v>
      </c>
      <c r="S30">
        <v>2.08</v>
      </c>
      <c r="U30">
        <v>25.24</v>
      </c>
      <c r="V30">
        <v>2</v>
      </c>
      <c r="W30" s="1">
        <v>0</v>
      </c>
      <c r="X30">
        <v>25.24</v>
      </c>
      <c r="Z30">
        <v>0</v>
      </c>
      <c r="AA30">
        <v>25.24</v>
      </c>
      <c r="AB30">
        <v>4</v>
      </c>
      <c r="AD30">
        <v>2.08</v>
      </c>
      <c r="AE30">
        <v>6</v>
      </c>
    </row>
    <row r="31" spans="1:31" x14ac:dyDescent="0.25">
      <c r="A31" s="2" t="s">
        <v>68</v>
      </c>
      <c r="B31" t="s">
        <v>35</v>
      </c>
      <c r="C31">
        <v>10</v>
      </c>
      <c r="D31">
        <v>322</v>
      </c>
      <c r="K31">
        <v>0</v>
      </c>
      <c r="M31">
        <v>322</v>
      </c>
      <c r="N31">
        <v>10</v>
      </c>
      <c r="O31">
        <v>322</v>
      </c>
      <c r="P31">
        <v>322</v>
      </c>
      <c r="Q31">
        <v>47</v>
      </c>
      <c r="R31">
        <v>0</v>
      </c>
      <c r="S31">
        <v>26.56</v>
      </c>
      <c r="U31">
        <v>322</v>
      </c>
      <c r="V31">
        <v>10</v>
      </c>
      <c r="W31" s="1">
        <v>0</v>
      </c>
      <c r="X31">
        <v>322</v>
      </c>
      <c r="Z31">
        <v>0</v>
      </c>
      <c r="AA31">
        <v>322</v>
      </c>
      <c r="AB31">
        <v>63</v>
      </c>
      <c r="AD31">
        <v>26.56</v>
      </c>
      <c r="AE31">
        <v>110</v>
      </c>
    </row>
    <row r="32" spans="1:31" x14ac:dyDescent="0.25">
      <c r="A32" s="2" t="s">
        <v>69</v>
      </c>
      <c r="B32" t="s">
        <v>35</v>
      </c>
      <c r="C32">
        <v>4</v>
      </c>
      <c r="D32">
        <v>112</v>
      </c>
      <c r="K32">
        <v>0</v>
      </c>
      <c r="M32">
        <v>112</v>
      </c>
      <c r="N32">
        <v>4</v>
      </c>
      <c r="O32">
        <v>112</v>
      </c>
      <c r="P32">
        <v>112</v>
      </c>
      <c r="Q32">
        <v>10</v>
      </c>
      <c r="R32">
        <v>0</v>
      </c>
      <c r="S32">
        <v>9.24</v>
      </c>
      <c r="U32">
        <v>112</v>
      </c>
      <c r="V32">
        <v>4</v>
      </c>
      <c r="W32" s="1">
        <v>0</v>
      </c>
      <c r="X32">
        <v>112</v>
      </c>
      <c r="Z32">
        <v>0</v>
      </c>
      <c r="AA32">
        <v>112</v>
      </c>
      <c r="AB32">
        <v>33</v>
      </c>
      <c r="AD32">
        <v>9.24</v>
      </c>
      <c r="AE32">
        <v>43</v>
      </c>
    </row>
    <row r="33" spans="1:31" x14ac:dyDescent="0.25">
      <c r="A33" s="2" t="s">
        <v>70</v>
      </c>
      <c r="B33" t="s">
        <v>35</v>
      </c>
      <c r="C33">
        <v>6</v>
      </c>
      <c r="D33">
        <v>122.33</v>
      </c>
      <c r="K33">
        <v>0</v>
      </c>
      <c r="M33">
        <v>122.33</v>
      </c>
      <c r="N33">
        <v>6</v>
      </c>
      <c r="O33">
        <v>122.33</v>
      </c>
      <c r="P33">
        <v>122.33</v>
      </c>
      <c r="Q33">
        <v>17</v>
      </c>
      <c r="R33">
        <v>0</v>
      </c>
      <c r="S33">
        <v>10.08</v>
      </c>
      <c r="U33">
        <v>122.33</v>
      </c>
      <c r="V33">
        <v>6</v>
      </c>
      <c r="W33" s="1">
        <v>0</v>
      </c>
      <c r="X33">
        <v>122.33</v>
      </c>
      <c r="Z33">
        <v>0</v>
      </c>
      <c r="AA33">
        <v>122.33</v>
      </c>
      <c r="AB33">
        <v>12</v>
      </c>
      <c r="AD33">
        <v>10.08</v>
      </c>
      <c r="AE33">
        <v>29</v>
      </c>
    </row>
    <row r="34" spans="1:31" x14ac:dyDescent="0.25">
      <c r="A34" s="2" t="s">
        <v>71</v>
      </c>
      <c r="B34" t="s">
        <v>35</v>
      </c>
      <c r="C34">
        <v>8</v>
      </c>
      <c r="D34">
        <v>216.37</v>
      </c>
      <c r="K34">
        <v>0</v>
      </c>
      <c r="M34">
        <v>216.37</v>
      </c>
      <c r="N34">
        <v>8</v>
      </c>
      <c r="O34">
        <v>216.37</v>
      </c>
      <c r="P34">
        <v>216.37</v>
      </c>
      <c r="Q34">
        <v>25</v>
      </c>
      <c r="R34">
        <v>0</v>
      </c>
      <c r="S34">
        <v>17.84</v>
      </c>
      <c r="U34">
        <v>216.37</v>
      </c>
      <c r="V34">
        <v>8</v>
      </c>
      <c r="W34" s="1">
        <v>0</v>
      </c>
      <c r="X34">
        <v>216.37</v>
      </c>
      <c r="Z34">
        <v>0</v>
      </c>
      <c r="AA34">
        <v>216.37</v>
      </c>
      <c r="AB34">
        <v>46</v>
      </c>
      <c r="AD34">
        <v>17.84</v>
      </c>
      <c r="AE34">
        <v>71</v>
      </c>
    </row>
    <row r="35" spans="1:31" x14ac:dyDescent="0.25">
      <c r="A35" s="2" t="s">
        <v>53</v>
      </c>
      <c r="B35" t="s">
        <v>35</v>
      </c>
      <c r="C35">
        <v>2</v>
      </c>
      <c r="D35">
        <v>76.680000000000007</v>
      </c>
      <c r="K35">
        <v>0</v>
      </c>
      <c r="M35">
        <v>76.680000000000007</v>
      </c>
      <c r="N35">
        <v>2</v>
      </c>
      <c r="O35">
        <v>76.680000000000007</v>
      </c>
      <c r="P35">
        <v>76.680000000000007</v>
      </c>
      <c r="Q35">
        <v>9</v>
      </c>
      <c r="R35">
        <v>0</v>
      </c>
      <c r="S35">
        <v>6.33</v>
      </c>
      <c r="U35">
        <v>76.680000000000007</v>
      </c>
      <c r="V35">
        <v>2</v>
      </c>
      <c r="W35" s="1">
        <v>0</v>
      </c>
      <c r="X35">
        <v>76.680000000000007</v>
      </c>
      <c r="Z35">
        <v>0</v>
      </c>
      <c r="AA35">
        <v>76.680000000000007</v>
      </c>
      <c r="AB35">
        <v>18</v>
      </c>
      <c r="AD35">
        <v>6.33</v>
      </c>
      <c r="AE35">
        <v>27</v>
      </c>
    </row>
    <row r="36" spans="1:31" x14ac:dyDescent="0.25">
      <c r="A36" s="2" t="s">
        <v>54</v>
      </c>
      <c r="B36" t="s">
        <v>35</v>
      </c>
      <c r="C36">
        <v>5</v>
      </c>
      <c r="D36">
        <v>175.09</v>
      </c>
      <c r="K36">
        <v>0</v>
      </c>
      <c r="M36">
        <v>175.09</v>
      </c>
      <c r="N36">
        <v>5</v>
      </c>
      <c r="O36">
        <v>175.09</v>
      </c>
      <c r="P36">
        <v>175.09</v>
      </c>
      <c r="Q36">
        <v>20</v>
      </c>
      <c r="R36">
        <v>0</v>
      </c>
      <c r="S36">
        <v>14.44</v>
      </c>
      <c r="U36">
        <v>175.09</v>
      </c>
      <c r="V36">
        <v>5</v>
      </c>
      <c r="W36" s="1">
        <v>0</v>
      </c>
      <c r="X36">
        <v>175.09</v>
      </c>
      <c r="Z36">
        <v>0</v>
      </c>
      <c r="AA36">
        <v>175.09</v>
      </c>
      <c r="AB36">
        <v>36</v>
      </c>
      <c r="AD36">
        <v>14.44</v>
      </c>
      <c r="AE36">
        <v>56</v>
      </c>
    </row>
    <row r="37" spans="1:31" x14ac:dyDescent="0.25">
      <c r="A37" s="2" t="s">
        <v>55</v>
      </c>
      <c r="B37" t="s">
        <v>35</v>
      </c>
      <c r="C37">
        <v>3</v>
      </c>
      <c r="D37">
        <v>80.989999999999995</v>
      </c>
      <c r="K37">
        <v>0</v>
      </c>
      <c r="M37">
        <v>80.989999999999995</v>
      </c>
      <c r="N37">
        <v>3</v>
      </c>
      <c r="O37">
        <v>80.989999999999995</v>
      </c>
      <c r="P37">
        <v>80.989999999999995</v>
      </c>
      <c r="Q37">
        <v>11</v>
      </c>
      <c r="R37">
        <v>0</v>
      </c>
      <c r="S37">
        <v>6.68</v>
      </c>
      <c r="U37">
        <v>80.989999999999995</v>
      </c>
      <c r="V37">
        <v>3</v>
      </c>
      <c r="W37" s="1">
        <v>0</v>
      </c>
      <c r="X37">
        <v>80.989999999999995</v>
      </c>
      <c r="Z37">
        <v>0</v>
      </c>
      <c r="AA37">
        <v>80.989999999999995</v>
      </c>
      <c r="AB37">
        <v>11</v>
      </c>
      <c r="AD37">
        <v>6.68</v>
      </c>
      <c r="AE37">
        <v>22</v>
      </c>
    </row>
    <row r="38" spans="1:31" x14ac:dyDescent="0.25">
      <c r="A38" s="2" t="s">
        <v>72</v>
      </c>
      <c r="B38" t="s">
        <v>35</v>
      </c>
      <c r="C38">
        <v>4</v>
      </c>
      <c r="D38">
        <v>127.37</v>
      </c>
      <c r="K38">
        <v>0</v>
      </c>
      <c r="M38">
        <v>127.37</v>
      </c>
      <c r="N38">
        <v>4</v>
      </c>
      <c r="O38">
        <v>127.37</v>
      </c>
      <c r="P38">
        <v>127.37</v>
      </c>
      <c r="Q38">
        <v>15</v>
      </c>
      <c r="R38">
        <v>0</v>
      </c>
      <c r="S38">
        <v>10.51</v>
      </c>
      <c r="U38">
        <v>127.37</v>
      </c>
      <c r="V38">
        <v>4</v>
      </c>
      <c r="W38" s="1">
        <v>0</v>
      </c>
      <c r="X38">
        <v>127.37</v>
      </c>
      <c r="Z38">
        <v>0</v>
      </c>
      <c r="AA38">
        <v>127.37</v>
      </c>
      <c r="AB38">
        <v>15</v>
      </c>
      <c r="AD38">
        <v>10.51</v>
      </c>
      <c r="AE38">
        <v>30</v>
      </c>
    </row>
    <row r="39" spans="1:31" x14ac:dyDescent="0.25">
      <c r="A39" s="2" t="s">
        <v>73</v>
      </c>
      <c r="B39" t="s">
        <v>35</v>
      </c>
      <c r="C39">
        <v>3</v>
      </c>
      <c r="D39">
        <v>49.65</v>
      </c>
      <c r="K39">
        <v>0</v>
      </c>
      <c r="M39">
        <v>49.65</v>
      </c>
      <c r="N39">
        <v>3</v>
      </c>
      <c r="O39">
        <v>49.65</v>
      </c>
      <c r="P39">
        <v>49.65</v>
      </c>
      <c r="Q39">
        <v>5</v>
      </c>
      <c r="R39">
        <v>0</v>
      </c>
      <c r="S39">
        <v>4.0999999999999996</v>
      </c>
      <c r="U39">
        <v>49.65</v>
      </c>
      <c r="V39">
        <v>3</v>
      </c>
      <c r="W39" s="1">
        <v>0</v>
      </c>
      <c r="X39">
        <v>49.65</v>
      </c>
      <c r="Z39">
        <v>0</v>
      </c>
      <c r="AA39">
        <v>49.65</v>
      </c>
      <c r="AB39">
        <v>10</v>
      </c>
      <c r="AD39">
        <v>4.0999999999999996</v>
      </c>
      <c r="AE39">
        <v>15</v>
      </c>
    </row>
    <row r="40" spans="1:31" x14ac:dyDescent="0.25">
      <c r="A40" s="2" t="s">
        <v>74</v>
      </c>
      <c r="B40" t="s">
        <v>35</v>
      </c>
      <c r="C40">
        <v>9</v>
      </c>
      <c r="D40">
        <v>248.24</v>
      </c>
      <c r="K40">
        <v>0</v>
      </c>
      <c r="M40">
        <v>248.24</v>
      </c>
      <c r="N40">
        <v>9</v>
      </c>
      <c r="O40">
        <v>248.24</v>
      </c>
      <c r="P40">
        <v>248.24</v>
      </c>
      <c r="Q40">
        <v>29</v>
      </c>
      <c r="R40">
        <v>0</v>
      </c>
      <c r="S40">
        <v>20.48</v>
      </c>
      <c r="U40">
        <v>248.24</v>
      </c>
      <c r="V40">
        <v>9</v>
      </c>
      <c r="W40" s="1">
        <v>0</v>
      </c>
      <c r="X40">
        <v>248.24</v>
      </c>
      <c r="Z40">
        <v>0</v>
      </c>
      <c r="AA40">
        <v>248.24</v>
      </c>
      <c r="AB40">
        <v>58</v>
      </c>
      <c r="AD40">
        <v>20.48</v>
      </c>
      <c r="AE40">
        <v>87</v>
      </c>
    </row>
    <row r="41" spans="1:31" x14ac:dyDescent="0.25">
      <c r="A41" s="2" t="s">
        <v>75</v>
      </c>
      <c r="B41" t="s">
        <v>35</v>
      </c>
      <c r="C41">
        <v>11</v>
      </c>
      <c r="D41">
        <v>333.96</v>
      </c>
      <c r="K41">
        <v>0</v>
      </c>
      <c r="M41">
        <v>333.96</v>
      </c>
      <c r="N41">
        <v>11</v>
      </c>
      <c r="O41">
        <v>333.96</v>
      </c>
      <c r="P41">
        <v>333.96</v>
      </c>
      <c r="Q41">
        <v>36</v>
      </c>
      <c r="R41">
        <v>0</v>
      </c>
      <c r="S41">
        <v>27.55</v>
      </c>
      <c r="U41">
        <v>333.96</v>
      </c>
      <c r="V41">
        <v>11</v>
      </c>
      <c r="W41" s="1">
        <v>0</v>
      </c>
      <c r="X41">
        <v>333.96</v>
      </c>
      <c r="Z41">
        <v>0</v>
      </c>
      <c r="AA41">
        <v>333.96</v>
      </c>
      <c r="AB41">
        <v>74</v>
      </c>
      <c r="AD41">
        <v>27.55</v>
      </c>
      <c r="AE41">
        <v>110</v>
      </c>
    </row>
    <row r="42" spans="1:31" x14ac:dyDescent="0.25">
      <c r="A42" s="2" t="s">
        <v>76</v>
      </c>
      <c r="B42" t="s">
        <v>35</v>
      </c>
      <c r="C42">
        <v>7</v>
      </c>
      <c r="D42">
        <v>265.61</v>
      </c>
      <c r="K42">
        <v>0</v>
      </c>
      <c r="M42">
        <v>265.61</v>
      </c>
      <c r="N42">
        <v>7</v>
      </c>
      <c r="O42">
        <v>265.61</v>
      </c>
      <c r="P42">
        <v>265.61</v>
      </c>
      <c r="Q42">
        <v>28</v>
      </c>
      <c r="R42">
        <v>0</v>
      </c>
      <c r="S42">
        <v>21.9</v>
      </c>
      <c r="U42">
        <v>265.61</v>
      </c>
      <c r="V42">
        <v>7</v>
      </c>
      <c r="W42" s="1">
        <v>0</v>
      </c>
      <c r="X42">
        <v>265.61</v>
      </c>
      <c r="Z42">
        <v>0</v>
      </c>
      <c r="AA42">
        <v>265.61</v>
      </c>
      <c r="AB42">
        <v>60</v>
      </c>
      <c r="AD42">
        <v>21.9</v>
      </c>
      <c r="AE42">
        <v>88</v>
      </c>
    </row>
    <row r="43" spans="1:31" x14ac:dyDescent="0.25">
      <c r="A43" s="2" t="s">
        <v>77</v>
      </c>
      <c r="B43" t="s">
        <v>35</v>
      </c>
      <c r="C43">
        <v>4</v>
      </c>
      <c r="D43">
        <v>104.82</v>
      </c>
      <c r="K43">
        <v>0</v>
      </c>
      <c r="M43">
        <v>104.82</v>
      </c>
      <c r="N43">
        <v>4</v>
      </c>
      <c r="O43">
        <v>104.82</v>
      </c>
      <c r="P43">
        <v>104.82</v>
      </c>
      <c r="Q43">
        <v>14</v>
      </c>
      <c r="R43">
        <v>0</v>
      </c>
      <c r="S43">
        <v>8.65</v>
      </c>
      <c r="U43">
        <v>104.82</v>
      </c>
      <c r="V43">
        <v>4</v>
      </c>
      <c r="W43" s="1">
        <v>0</v>
      </c>
      <c r="X43">
        <v>104.82</v>
      </c>
      <c r="Z43">
        <v>0</v>
      </c>
      <c r="AA43">
        <v>104.82</v>
      </c>
      <c r="AB43">
        <v>23</v>
      </c>
      <c r="AD43">
        <v>8.65</v>
      </c>
      <c r="AE43">
        <v>37</v>
      </c>
    </row>
    <row r="44" spans="1:31" x14ac:dyDescent="0.25">
      <c r="A44" s="2" t="s">
        <v>78</v>
      </c>
      <c r="B44" t="s">
        <v>35</v>
      </c>
      <c r="C44">
        <v>1</v>
      </c>
      <c r="D44">
        <v>24.98</v>
      </c>
      <c r="K44">
        <v>0</v>
      </c>
      <c r="M44">
        <v>24.98</v>
      </c>
      <c r="N44">
        <v>1</v>
      </c>
      <c r="O44">
        <v>24.98</v>
      </c>
      <c r="P44">
        <v>24.98</v>
      </c>
      <c r="Q44">
        <v>4</v>
      </c>
      <c r="R44">
        <v>0</v>
      </c>
      <c r="S44">
        <v>2.06</v>
      </c>
      <c r="U44">
        <v>24.98</v>
      </c>
      <c r="V44">
        <v>1</v>
      </c>
      <c r="W44" s="1">
        <v>0</v>
      </c>
      <c r="X44">
        <v>24.98</v>
      </c>
      <c r="Z44">
        <v>0</v>
      </c>
      <c r="AA44">
        <v>24.98</v>
      </c>
      <c r="AB44">
        <v>2</v>
      </c>
      <c r="AD44">
        <v>2.06</v>
      </c>
      <c r="AE44">
        <v>6</v>
      </c>
    </row>
    <row r="45" spans="1:31" x14ac:dyDescent="0.25">
      <c r="A45" s="2" t="s">
        <v>79</v>
      </c>
      <c r="B45" t="s">
        <v>35</v>
      </c>
      <c r="C45">
        <v>5</v>
      </c>
      <c r="D45">
        <v>146.46</v>
      </c>
      <c r="K45">
        <v>0</v>
      </c>
      <c r="M45">
        <v>146.46</v>
      </c>
      <c r="N45">
        <v>5</v>
      </c>
      <c r="O45">
        <v>146.46</v>
      </c>
      <c r="P45">
        <v>146.46</v>
      </c>
      <c r="Q45">
        <v>19</v>
      </c>
      <c r="R45">
        <v>0</v>
      </c>
      <c r="S45">
        <v>12.07</v>
      </c>
      <c r="U45">
        <v>146.46</v>
      </c>
      <c r="V45">
        <v>5</v>
      </c>
      <c r="W45" s="1">
        <v>0</v>
      </c>
      <c r="X45">
        <v>146.46</v>
      </c>
      <c r="Z45">
        <v>0</v>
      </c>
      <c r="AA45">
        <v>146.46</v>
      </c>
      <c r="AB45">
        <v>25</v>
      </c>
      <c r="AD45">
        <v>12.07</v>
      </c>
      <c r="AE45">
        <v>44</v>
      </c>
    </row>
    <row r="46" spans="1:31" x14ac:dyDescent="0.25">
      <c r="W46" s="1"/>
    </row>
    <row r="49" spans="2:4" x14ac:dyDescent="0.25">
      <c r="B49" t="s">
        <v>80</v>
      </c>
      <c r="D49">
        <f>SUM(D2:D30)</f>
        <v>3934.4599999999996</v>
      </c>
    </row>
    <row r="50" spans="2:4" x14ac:dyDescent="0.25">
      <c r="B50" t="s">
        <v>81</v>
      </c>
      <c r="D50">
        <f>SUM(D31:D45)</f>
        <v>2406.5500000000002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REFACTORED_Toast summary Uber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2026-08-31T10:07:00Z</dcterms:created>
  <dcterms:modified xsi:type="dcterms:W3CDTF">2026-08-31T10:07:00Z</dcterms:modified>
</cp:coreProperties>
</file>