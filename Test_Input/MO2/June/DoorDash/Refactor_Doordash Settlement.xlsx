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ne\DoorDash\"/>
    </mc:Choice>
  </mc:AlternateContent>
  <xr:revisionPtr revIDLastSave="0" documentId="13_ncr:1_{FF73F697-EECA-4693-8D73-870A118FE665}" xr6:coauthVersionLast="47" xr6:coauthVersionMax="47" xr10:uidLastSave="{00000000-0000-0000-0000-000000000000}"/>
  <bookViews>
    <workbookView xWindow="20550" yWindow="2640" windowWidth="29520" windowHeight="17145" xr2:uid="{9367B785-E6FA-4A76-BE5C-6C2599BBC8F9}"/>
  </bookViews>
  <sheets>
    <sheet name="Doordash Settlement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99" i="1" l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X199" i="1"/>
</calcChain>
</file>

<file path=xl/sharedStrings.xml><?xml version="1.0" encoding="utf-8"?>
<sst xmlns="http://schemas.openxmlformats.org/spreadsheetml/2006/main" count="2407" uniqueCount="837">
  <si>
    <t>Timestamp UTC time</t>
  </si>
  <si>
    <t>Timestamp UTC date</t>
  </si>
  <si>
    <t>Timestamp local time</t>
  </si>
  <si>
    <t>Timestamp local date</t>
  </si>
  <si>
    <t>Order received local time</t>
  </si>
  <si>
    <t>Order pickup local time</t>
  </si>
  <si>
    <t>Payout time</t>
  </si>
  <si>
    <t>Payout date</t>
  </si>
  <si>
    <t>Business ID</t>
  </si>
  <si>
    <t>Business name</t>
  </si>
  <si>
    <t>Store ID</t>
  </si>
  <si>
    <t>Store name</t>
  </si>
  <si>
    <t>Merchant store ID</t>
  </si>
  <si>
    <t>Transaction type</t>
  </si>
  <si>
    <t>Delivery UUID</t>
  </si>
  <si>
    <t>DoorDash transaction ID</t>
  </si>
  <si>
    <t>DoorDash order ID</t>
  </si>
  <si>
    <t>Merchant delivery ID</t>
  </si>
  <si>
    <t>POS order ID</t>
  </si>
  <si>
    <t>Channel</t>
  </si>
  <si>
    <t>Description</t>
  </si>
  <si>
    <t>Final order status</t>
  </si>
  <si>
    <t>Currency</t>
  </si>
  <si>
    <t>Subtotal</t>
  </si>
  <si>
    <t>Subtotal tax passed to merchant</t>
  </si>
  <si>
    <t>Staff tip</t>
  </si>
  <si>
    <t>Commission</t>
  </si>
  <si>
    <t>Commission tax</t>
  </si>
  <si>
    <t>Payment processing fee</t>
  </si>
  <si>
    <t>Marketing fees | (including any applicable taxes)</t>
  </si>
  <si>
    <t>Customer discounts from marketing | (funded by you)</t>
  </si>
  <si>
    <t>Customer discounts from marketing | (funded by DoorDash)</t>
  </si>
  <si>
    <t>Customer discounts from marketing | (funded by a third-party)</t>
  </si>
  <si>
    <t>DoorDash marketing credit</t>
  </si>
  <si>
    <t>Third-party contribution</t>
  </si>
  <si>
    <t>Error charges</t>
  </si>
  <si>
    <t>Adjustments</t>
  </si>
  <si>
    <t>Net total</t>
  </si>
  <si>
    <t>Pre-adjusted subtotal</t>
  </si>
  <si>
    <t>Pre-adjusted tax subtotal</t>
  </si>
  <si>
    <t>Subtotal for tax</t>
  </si>
  <si>
    <t>Subtotal tax remitted by DoorDash to tax authorities</t>
  </si>
  <si>
    <t>Tax remitted by DoorDash on fees DoorDash charges to merchant</t>
  </si>
  <si>
    <t>Payout ID</t>
  </si>
  <si>
    <t>Country Burger</t>
  </si>
  <si>
    <t>Country Burger (Murphy Rd)</t>
  </si>
  <si>
    <t>NULL</t>
  </si>
  <si>
    <t>Order</t>
  </si>
  <si>
    <t>Marketplace</t>
  </si>
  <si>
    <t>Delivered</t>
  </si>
  <si>
    <t>USD</t>
  </si>
  <si>
    <t>Picked Up</t>
  </si>
  <si>
    <t>8b4f9d37-4aef-3001-8860-81df97928bc8</t>
  </si>
  <si>
    <t>97928BC8</t>
  </si>
  <si>
    <t>7256e8d5-3ddb-497b-8d97-ecbb6042ffe7</t>
  </si>
  <si>
    <t>35ac6af1-c7c2-444d-b12f-b2fdd0fe1cce</t>
  </si>
  <si>
    <t>dcd77083-29fe-3001-89f3-da6a42b09faf</t>
  </si>
  <si>
    <t>42B09FAF</t>
  </si>
  <si>
    <t>06dcd902-37ac-4e42-b381-5a472c5c00fe</t>
  </si>
  <si>
    <t>c7d6f3f2-0bf9-4915-87a3-785a798235ec</t>
  </si>
  <si>
    <t>31157274-cee6-3001-aab6-e7acea4346c1</t>
  </si>
  <si>
    <t>EA4346C1</t>
  </si>
  <si>
    <t>95557930-73a7-42f3-b720-695d5cb3b9bf</t>
  </si>
  <si>
    <t>c5fc50f7-3e4f-4e15-bb79-46a870ff27ba</t>
  </si>
  <si>
    <t>6dea2650-7a32-3001-b049-5b14498f45d6</t>
  </si>
  <si>
    <t>498F45D6</t>
  </si>
  <si>
    <t>6bbefabb-7e27-422c-83bb-6238f4b88ce5</t>
  </si>
  <si>
    <t>53baffee-70cf-48f7-9bdd-f18e2244a65b</t>
  </si>
  <si>
    <t>4fd376b5-7335-3001-954c-a00c9b330813</t>
  </si>
  <si>
    <t>9B330813</t>
  </si>
  <si>
    <t>52897ee0-ce7f-43fa-8c55-c060e63d51e2</t>
  </si>
  <si>
    <t>f9b93b7e-7e56-4b2d-8b81-f2df3de4b285</t>
  </si>
  <si>
    <t>df548542-eeb1-3001-bf62-64e9b59743bd</t>
  </si>
  <si>
    <t>B59743BD</t>
  </si>
  <si>
    <t>a7b99dc6-47e9-4e9e-b81d-21f374871e45</t>
  </si>
  <si>
    <t>e98847f6-c888-4883-a6dd-1c2783572490</t>
  </si>
  <si>
    <t>00bc4d85-54e2-3001-a9be-8aa1e5617823</t>
  </si>
  <si>
    <t>E5617823</t>
  </si>
  <si>
    <t>8379e1f4-59a1-4639-9b08-13cac19d1f2d</t>
  </si>
  <si>
    <t>dd7a1e9f-4bf9-4171-8ed9-7eef007769da</t>
  </si>
  <si>
    <t>dbd7e1f4-fab2-3001-972d-886ba7f91ee4</t>
  </si>
  <si>
    <t>A7F91EE4</t>
  </si>
  <si>
    <t>1fdf2ef0-f443-4673-a916-e4542134101d</t>
  </si>
  <si>
    <t>c6472504-7178-46c1-a5c4-51c597f38f7b</t>
  </si>
  <si>
    <t>db946f15-db51-3001-be8e-364b2b6da592</t>
  </si>
  <si>
    <t>2B6DA592</t>
  </si>
  <si>
    <t>f2880d14-83c7-445c-91e6-3b11a9d73b9c</t>
  </si>
  <si>
    <t>2ef3e101-05a6-429f-802f-73e4d1c83c56</t>
  </si>
  <si>
    <t>7e0bcb01-1c55-3001-b1ee-f817ac46b1b8</t>
  </si>
  <si>
    <t>AC46B1B8</t>
  </si>
  <si>
    <t>a749528c-6b37-4e6a-8823-8cd1d880b120</t>
  </si>
  <si>
    <t>968fe4fe-4aa1-4dd4-84fa-368edacaa32f</t>
  </si>
  <si>
    <t>5e1c8237-63d1-3001-8f9f-0d49e48bd51b</t>
  </si>
  <si>
    <t>E48BD51B</t>
  </si>
  <si>
    <t>cba6b4d7-7618-48ac-a428-645739de2907</t>
  </si>
  <si>
    <t>b04ff2f8-087f-4bb6-8615-bd824110f27f</t>
  </si>
  <si>
    <t>2ea3f0d9-a2a2-3001-b948-c667b418bbd0</t>
  </si>
  <si>
    <t>B418BBD0</t>
  </si>
  <si>
    <t>cecef01d-3a00-4e7f-870f-5d720c56a524</t>
  </si>
  <si>
    <t>28610d62-ec3e-4309-b9e0-f0b200f98b4d</t>
  </si>
  <si>
    <t>b1bd524d-7a5e-3001-9f1b-a38f5a976746</t>
  </si>
  <si>
    <t>5A976746</t>
  </si>
  <si>
    <t>4d9a8f48-20f5-40f1-a7f8-a7326cede826</t>
  </si>
  <si>
    <t>d451829b-f372-4eb5-8bbd-ec3534e9028b</t>
  </si>
  <si>
    <t>ccf66003-a0d9-3001-9bc6-8587017f3e7d</t>
  </si>
  <si>
    <t>017F3E7D</t>
  </si>
  <si>
    <t>d0d84cd2-94b0-45f6-8420-f099937d91e3</t>
  </si>
  <si>
    <t>ff523a2a-f6e6-4bfb-ad1c-ee99a4ddea52</t>
  </si>
  <si>
    <t>c53d93cf-e18f-3001-8f0a-b294940fd4ee</t>
  </si>
  <si>
    <t>940FD4EE</t>
  </si>
  <si>
    <t>ae66eb16-ab38-476d-8f25-02d879d867f6</t>
  </si>
  <si>
    <t>d968652a-d9b1-4ebb-8d9e-8c39089ba303</t>
  </si>
  <si>
    <t>bf0d2007-3fd5-3001-a28b-b84cd29fb8af</t>
  </si>
  <si>
    <t>D29FB8AF</t>
  </si>
  <si>
    <t>6a6a47b5-be30-4843-8703-cc1ab4c6a43f</t>
  </si>
  <si>
    <t>4ba8502d-8a2d-49c7-819c-2087d3976df9</t>
  </si>
  <si>
    <t>549823bb-ff36-3001-9ea8-679eb909cbd4</t>
  </si>
  <si>
    <t>B909CBD4</t>
  </si>
  <si>
    <t>6b9a7e0d-35d3-454a-b6c0-de366b9f7c00</t>
  </si>
  <si>
    <t>5dfb59f3-befd-4107-aff4-4ec49167a1ac</t>
  </si>
  <si>
    <t>c42f0758-0c84-3001-9cc8-fbb512e6e0d4</t>
  </si>
  <si>
    <t>12E6E0D4</t>
  </si>
  <si>
    <t>f0d37dc8-3a3f-4484-bfc2-071e005a0e57</t>
  </si>
  <si>
    <t>7fb9a3ac-28af-49ea-a24a-da446010e827</t>
  </si>
  <si>
    <t>953db8d8-3d41-3001-a31e-8ab1a30a7be3</t>
  </si>
  <si>
    <t>A30A7BE3</t>
  </si>
  <si>
    <t>2ffcc3f5-f227-4763-8fed-2d1c506daa24</t>
  </si>
  <si>
    <t>320981a6-ec6c-47b1-bd0e-c617978bb3f9</t>
  </si>
  <si>
    <t>c7bc9c7b-f901-3001-8cf7-e77b3a5f9f43</t>
  </si>
  <si>
    <t>3A5F9F43</t>
  </si>
  <si>
    <t>10e5fab6-1ea4-481c-bb99-67dbbebd4d7b</t>
  </si>
  <si>
    <t>a6c9c67a-d5c5-4c11-aa6f-3c064be9cfbb</t>
  </si>
  <si>
    <t>35762599-cd08-3001-bf42-3a894787526a</t>
  </si>
  <si>
    <t>4787526A</t>
  </si>
  <si>
    <t>290723db-34a5-4e08-a2f7-0b4aeec58ece</t>
  </si>
  <si>
    <t>3a6ff4fd-445d-42eb-bb01-fa8deb9ad55f</t>
  </si>
  <si>
    <t>f6010154-d1a2-3001-91fb-cc58dd092969</t>
  </si>
  <si>
    <t>DD092969</t>
  </si>
  <si>
    <t>97a1c44e-7075-4d34-9151-731147617433</t>
  </si>
  <si>
    <t>600ae4e9-bd7e-4e2e-bbf6-a93efa687a0c</t>
  </si>
  <si>
    <t>3d437c88-3b8f-3001-9633-69d13f7f9a76</t>
  </si>
  <si>
    <t>3F7F9A76</t>
  </si>
  <si>
    <t>4eb597b1-e073-4fc8-8e59-829cba3bf422</t>
  </si>
  <si>
    <t>b7272b75-385d-48ec-9d38-a672594cb05e</t>
  </si>
  <si>
    <t>768d469b-45d6-3001-9dd9-1825425a3442</t>
  </si>
  <si>
    <t>425A3442</t>
  </si>
  <si>
    <t>e5836cb8-0175-4a2b-b3b8-89e1d2b9f53b</t>
  </si>
  <si>
    <t>f5151aa8-8c6a-4428-aef3-645ce6a27d3a</t>
  </si>
  <si>
    <t>7d9f76b3-28fe-3001-89d2-44f94024c123</t>
  </si>
  <si>
    <t>4024C123</t>
  </si>
  <si>
    <t>bce83d64-1225-4435-9a06-0dddda928aa0</t>
  </si>
  <si>
    <t>7aff8c27-012e-404e-8f9e-457aea0b850c</t>
  </si>
  <si>
    <t>23299697-04b8-3001-9a32-0f8b1cf72601</t>
  </si>
  <si>
    <t>1CF72601</t>
  </si>
  <si>
    <t>99d4dd3a-2057-4d27-ba51-d671d8b63f90</t>
  </si>
  <si>
    <t>92d69606-d95e-4597-be57-6d803645a24d</t>
  </si>
  <si>
    <t>2832ec1b-4a7c-3001-9c0f-626fa5b5f0cb</t>
  </si>
  <si>
    <t>A5B5F0CB</t>
  </si>
  <si>
    <t>d0b73303-8a53-4961-b77a-d774c79772ae</t>
  </si>
  <si>
    <t>c18e8292-48ae-48db-910c-3efe4f203e04</t>
  </si>
  <si>
    <t>5ecc9296-4984-3001-a4f1-25221b5a2937</t>
  </si>
  <si>
    <t>1B5A2937</t>
  </si>
  <si>
    <t>19fdb5a8-e2c7-45d1-8a8a-09bffbeb01be</t>
  </si>
  <si>
    <t>39116a3c-5565-4758-8e44-7879bdd4a591</t>
  </si>
  <si>
    <t>20420eaf-20e5-3001-937a-3b7a90406e3f</t>
  </si>
  <si>
    <t>90406E3F</t>
  </si>
  <si>
    <t>89d0e4de-4852-45f7-83cf-6c5891c35946</t>
  </si>
  <si>
    <t>1cad9911-c602-42e6-9b51-674f23325a12</t>
  </si>
  <si>
    <t>cf97fa0f-ff7c-3001-9200-6013241254ee</t>
  </si>
  <si>
    <t>241254EE</t>
  </si>
  <si>
    <t>2bbf0ae7-3379-4368-9830-6d381194f736</t>
  </si>
  <si>
    <t>6155d508-342c-4839-8fec-646d72a57b39</t>
  </si>
  <si>
    <t>cb5f9bff-8bb0-3001-9db8-110b8bd7ed2e</t>
  </si>
  <si>
    <t>8BD7ED2E</t>
  </si>
  <si>
    <t>7e7ca27c-a582-4d01-9cf2-abb4d25f4694</t>
  </si>
  <si>
    <t>b4b52e93-0c4b-4047-90f3-e35e275c8fa0</t>
  </si>
  <si>
    <t>76b4b83a-87c5-3001-afcc-b49e384113a1</t>
  </si>
  <si>
    <t>384113A1</t>
  </si>
  <si>
    <t>4ae6aa3d-5b97-4659-84bd-cf37174d8abe</t>
  </si>
  <si>
    <t>ea6cb3be-31b9-4af7-a4b8-9ea7bb1bbf14</t>
  </si>
  <si>
    <t>8c1bf211-3849-3001-ae6e-b0b0dd5878bf</t>
  </si>
  <si>
    <t>DD5878BF</t>
  </si>
  <si>
    <t>1c8bd833-f9f5-401f-899e-a1910e76ca66</t>
  </si>
  <si>
    <t>e88cfc84-e8a5-4c62-98c6-155abbcfcfd4</t>
  </si>
  <si>
    <t>4fc19e3e-4924-3001-9495-d47079510f1b</t>
  </si>
  <si>
    <t>79510F1B</t>
  </si>
  <si>
    <t>22f289da-1141-4a5e-a7a0-f1130622e812</t>
  </si>
  <si>
    <t>31808308-1491-4ec2-8263-9e850e2346fc</t>
  </si>
  <si>
    <t>fad46899-e29b-3001-b19d-287fe1981492</t>
  </si>
  <si>
    <t>E1981492</t>
  </si>
  <si>
    <t>c9355f07-8c61-4b6c-9312-43df86eb77ca</t>
  </si>
  <si>
    <t>ef93dee3-a97a-4b92-8f2b-82ac2d580fbc</t>
  </si>
  <si>
    <t>0c97714a-05e0-3001-8842-61e16cf5bb82</t>
  </si>
  <si>
    <t>6CF5BB82</t>
  </si>
  <si>
    <t>57a2067b-b600-4269-9086-d47a36c467d2</t>
  </si>
  <si>
    <t>297633c5-6c20-44d7-b2e4-41aa85e61de3</t>
  </si>
  <si>
    <t>3dfd3f9e-f2b9-3001-bcb0-a7685272233b</t>
  </si>
  <si>
    <t>5272233B</t>
  </si>
  <si>
    <t>25f496ac-2722-415c-a959-8edf0ba3c5ac</t>
  </si>
  <si>
    <t>83a0a654-1d16-42fc-91d3-863288ac3492</t>
  </si>
  <si>
    <t>8d862df3-de7c-3001-bedb-1c6f277bcb98</t>
  </si>
  <si>
    <t>277BCB98</t>
  </si>
  <si>
    <t>ca01c93c-a7df-4aa2-8380-0130e370e8a3</t>
  </si>
  <si>
    <t>91b1f14e-5bd1-4104-b507-2def7d5f5be0</t>
  </si>
  <si>
    <t>f1755033-3914-3001-a8cc-57a5d7f3e84d</t>
  </si>
  <si>
    <t>D7F3E84D</t>
  </si>
  <si>
    <t>955e3b58-3041-478c-b3b0-c0b19da3fb2a</t>
  </si>
  <si>
    <t>29d1d975-6228-4fef-b56b-4a6a76336e94</t>
  </si>
  <si>
    <t>578a51d3-a1ac-3001-894d-da516ee23007</t>
  </si>
  <si>
    <t>6EE23007</t>
  </si>
  <si>
    <t>71704b1b-d6d7-4af2-8461-50eeb4ddeaa8</t>
  </si>
  <si>
    <t>c1b74b75-7f12-4b91-8025-19c122be84a2</t>
  </si>
  <si>
    <t>84ecb89b-f550-3001-bc50-8d79f58d06a2</t>
  </si>
  <si>
    <t>F58D06A2</t>
  </si>
  <si>
    <t>27db3521-4359-4427-a862-5968d2d1a1ea</t>
  </si>
  <si>
    <t>68247482-5d3a-4d95-9ca8-b057c9e827a8</t>
  </si>
  <si>
    <t>6714771b-1da8-3001-82b7-5af08a260bd9</t>
  </si>
  <si>
    <t>8A260BD9</t>
  </si>
  <si>
    <t>44ddd869-8ae6-42a3-9c00-5cfe15c0b4b7</t>
  </si>
  <si>
    <t>8a121afb-bebc-4d3f-a2b0-658d1570d506</t>
  </si>
  <si>
    <t>597c5b60-f9f2-3001-b791-6a68ff67f2b3</t>
  </si>
  <si>
    <t>FF67F2B3</t>
  </si>
  <si>
    <t>985dc612-a8b3-44eb-a7fb-42c40f377f4c</t>
  </si>
  <si>
    <t>27f27452-73fb-4a75-a02f-68c6c936f986</t>
  </si>
  <si>
    <t>6bb2f1f4-c3ef-3001-be1b-95f78c507a0a</t>
  </si>
  <si>
    <t>8C507A0A</t>
  </si>
  <si>
    <t>66c750bc-f92a-46b0-a07e-d1256b7b7870</t>
  </si>
  <si>
    <t>bb402e95-a056-40b1-9914-ac432bf5bc17</t>
  </si>
  <si>
    <t>fd77ebb9-3af8-3001-8282-c1aad14d67b9</t>
  </si>
  <si>
    <t>D14D67B9</t>
  </si>
  <si>
    <t>3c68cade-e2d7-40a8-a498-81ac3f04be8b</t>
  </si>
  <si>
    <t>eeb9ec96-dfe1-41ee-ae07-d2877d4b326c</t>
  </si>
  <si>
    <t>248a5d9b-03da-3001-85a7-f97eeabf67e5</t>
  </si>
  <si>
    <t>EABF67E5</t>
  </si>
  <si>
    <t>12f27337-ed4b-42d2-8b3c-9c0429a2038c</t>
  </si>
  <si>
    <t>8d11670e-d242-4791-a449-598dc3039979</t>
  </si>
  <si>
    <t>c20f6340-5333-3001-8449-36f7189a9bb9</t>
  </si>
  <si>
    <t>189A9BB9</t>
  </si>
  <si>
    <t>db13e4c1-3bf0-4c5a-922c-365a1328cdb0</t>
  </si>
  <si>
    <t>0ad2eb11-daa3-47f6-a6fd-4a8b2cb5c4c0</t>
  </si>
  <si>
    <t>d3157d6b-2f31-3001-a31b-3048dabfbc32</t>
  </si>
  <si>
    <t>DABFBC32</t>
  </si>
  <si>
    <t>585d8ae7-309a-464e-a6a4-0dc6f0a9efc5</t>
  </si>
  <si>
    <t>e426deeb-0d20-4e9b-bafb-19a5d88d1e24</t>
  </si>
  <si>
    <t>ea4bb7a2-9907-3001-90fa-9ad9b50befb6</t>
  </si>
  <si>
    <t>B50BEFB6</t>
  </si>
  <si>
    <t>6eaa28fd-e537-4f35-a439-5e8724a6c179</t>
  </si>
  <si>
    <t>aea81b92-9118-4bdf-afcb-57fb40504f61</t>
  </si>
  <si>
    <t>d952fa51-2312-3001-ac38-32d6fdcef07f</t>
  </si>
  <si>
    <t>FDCEF07F</t>
  </si>
  <si>
    <t>f7fdd286-4042-4455-8d0c-279546cae2d9</t>
  </si>
  <si>
    <t>ac8be3c4-7e5a-4308-8e52-2e357a2c84b4</t>
  </si>
  <si>
    <t>f2f4b83e-f3bd-3001-a295-7d61ead6bf79</t>
  </si>
  <si>
    <t>EAD6BF79</t>
  </si>
  <si>
    <t>e3516f01-37df-44df-bd82-bcc7247d5327</t>
  </si>
  <si>
    <t>b77266ee-347f-4880-97c2-debe60eafd91</t>
  </si>
  <si>
    <t>756626f8-69b7-3001-9db1-5f9674a0a644</t>
  </si>
  <si>
    <t>74A0A644</t>
  </si>
  <si>
    <t>244056b3-a277-45d4-b523-31ca0939cb26</t>
  </si>
  <si>
    <t>16b7a0d4-d313-4fe5-881a-3c6d5380d887</t>
  </si>
  <si>
    <t>71e3dc42-283f-3001-a2eb-626ad1c3bf6f</t>
  </si>
  <si>
    <t>D1C3BF6F</t>
  </si>
  <si>
    <t>dc13d4a0-3d7d-4762-8d0c-6ac5f2a987f9</t>
  </si>
  <si>
    <t>5e7b7e32-ff45-45cc-9469-369ae9c0c1c3</t>
  </si>
  <si>
    <t>894604ed-026a-3001-892c-c3b0ddcc2f8d</t>
  </si>
  <si>
    <t>DDCC2F8D</t>
  </si>
  <si>
    <t>adaf83f5-a2be-47ce-b1ec-a336ab1d9373</t>
  </si>
  <si>
    <t>12e7a5aa-a6be-47fa-850f-d334818f846b</t>
  </si>
  <si>
    <t>f6686140-a0df-3001-8ab3-0ee74eb72da9</t>
  </si>
  <si>
    <t>4EB72DA9</t>
  </si>
  <si>
    <t>500041a8-c1c9-4c10-ba76-6214c52d6b6a</t>
  </si>
  <si>
    <t>185df187-2984-4242-910e-86fb98260851</t>
  </si>
  <si>
    <t>59d07f9d-56ef-3001-8b93-713c2d2ea799</t>
  </si>
  <si>
    <t>2D2EA799</t>
  </si>
  <si>
    <t>0a13c1dc-0bc6-4ca5-b0da-57a4724f2967</t>
  </si>
  <si>
    <t>1b1c5593-1e66-4ede-91e9-390ddbb8e149</t>
  </si>
  <si>
    <t>bedbfc87-28f5-3001-b1a0-ea3918203c6c</t>
  </si>
  <si>
    <t>18203C6C</t>
  </si>
  <si>
    <t>e8c95fb0-baa8-4b12-90b3-bd1a83cac193</t>
  </si>
  <si>
    <t>d0d02c4a-3b71-4640-8cbe-2234a27dd9b4</t>
  </si>
  <si>
    <t>Error Charge</t>
  </si>
  <si>
    <t>a034b2f4-c2b4-3001-a3e9-a9f1aabcfb9f</t>
  </si>
  <si>
    <t>AABCFB9F</t>
  </si>
  <si>
    <t>6412bc99-19a2-46d5-9ebb-dd868d20846a</t>
  </si>
  <si>
    <t>d2428d47-598b-4db2-89dd-a25597288198</t>
  </si>
  <si>
    <t>1 Cheddar Fries missing</t>
  </si>
  <si>
    <t>ff599edf-9886-3001-bdd5-c0c1e7c2cec7</t>
  </si>
  <si>
    <t>E7C2CEC7</t>
  </si>
  <si>
    <t>8d89aab4-1606-44fc-ab39-b5759ba82a74</t>
  </si>
  <si>
    <t>0363667e-8528-42aa-96b4-486e8031499e</t>
  </si>
  <si>
    <t>c41a6f6c-20ae-3001-bd44-2d6f39cf2bb0</t>
  </si>
  <si>
    <t>39CF2BB0</t>
  </si>
  <si>
    <t>fa7f47cf-38ef-4fb2-a00b-a87c997cd94d</t>
  </si>
  <si>
    <t>e1180bca-4f95-4adb-a7b0-20d6afea0ab9</t>
  </si>
  <si>
    <t>44f75efd-4d50-3001-8b54-9582747e9255</t>
  </si>
  <si>
    <t>747E9255</t>
  </si>
  <si>
    <t>b52cc2b7-f947-4465-aa4c-a47e8e0113eb</t>
  </si>
  <si>
    <t>6dee3f1a-f85e-43da-9ba4-ea0b29c968f6</t>
  </si>
  <si>
    <t>aadec561-8cfd-3001-b022-753db5540d24</t>
  </si>
  <si>
    <t>B5540D24</t>
  </si>
  <si>
    <t>d571714e-ca3b-4947-b877-58349ab9a3ca</t>
  </si>
  <si>
    <t>29bfc268-e4ed-46ea-9652-a1cc1463e92c</t>
  </si>
  <si>
    <t>af92a739-3f0f-3001-b5b9-5ec683cfe1a4</t>
  </si>
  <si>
    <t>83CFE1A4</t>
  </si>
  <si>
    <t>03a27547-009b-4521-bbe9-40ad5e0ffff8</t>
  </si>
  <si>
    <t>46484d79-e8c3-40fc-bb64-6ceff1f52361</t>
  </si>
  <si>
    <t>91a76130-3bbc-3001-9446-85d04c66d5d7</t>
  </si>
  <si>
    <t>4C66D5D7</t>
  </si>
  <si>
    <t>37bb7b8e-1d6d-4e77-b263-8788e8c92216</t>
  </si>
  <si>
    <t>c43785be-3866-4bb9-b066-92e50317f12b</t>
  </si>
  <si>
    <t>8080eae2-0f84-3001-a066-ee423ddd970b</t>
  </si>
  <si>
    <t>3DDD970B</t>
  </si>
  <si>
    <t>65db1388-5dfc-4517-8de9-071933dc1f06</t>
  </si>
  <si>
    <t>4501c640-d270-46d5-9453-4fe1b4026af0</t>
  </si>
  <si>
    <t>28ce6d9c-ed0e-3001-9ab6-37350c4e9639</t>
  </si>
  <si>
    <t>0C4E9639</t>
  </si>
  <si>
    <t>ab715076-dba2-46e2-91ac-996cf2880235</t>
  </si>
  <si>
    <t>c4f0f425-d43a-4a13-997f-04c3f3069a4b</t>
  </si>
  <si>
    <t>fc7648be-f4a4-3001-b47b-a5353f7667b0</t>
  </si>
  <si>
    <t>3F7667B0</t>
  </si>
  <si>
    <t>0025dff0-be32-4ced-9748-24ddf254086c</t>
  </si>
  <si>
    <t>ff2f51b5-5bdf-438f-8d83-7d48e52fa6e2</t>
  </si>
  <si>
    <t>b1ba8e50-bb6c-3001-a83d-87264fa42387</t>
  </si>
  <si>
    <t>4FA42387</t>
  </si>
  <si>
    <t>8b979f51-4c5e-4e10-ad48-80c96a477bf2</t>
  </si>
  <si>
    <t>265d5b02-845c-498f-8a27-abe1b43966e2</t>
  </si>
  <si>
    <t>13c6640a-f722-3001-97b5-b16038bec96b</t>
  </si>
  <si>
    <t>38BEC96B</t>
  </si>
  <si>
    <t>107cdec9-935e-4aa7-87ee-f2e4cbf54535</t>
  </si>
  <si>
    <t>fbfa12bc-f77a-4d16-9187-ca2a7cb47845</t>
  </si>
  <si>
    <t>4dd9664a-7153-3001-9bc7-636b6c8ae749</t>
  </si>
  <si>
    <t>6C8AE749</t>
  </si>
  <si>
    <t>135cca9b-baf3-4ca4-a149-f63a955d88fc</t>
  </si>
  <si>
    <t>68b94f79-0e5c-4357-83cc-74ffe7015b4c</t>
  </si>
  <si>
    <t>1 Corn Dog &amp; Small Fry and drink missing</t>
  </si>
  <si>
    <t>68f5c0d2-9c5e-3001-ad4d-18e31be1027e</t>
  </si>
  <si>
    <t>1BE1027E</t>
  </si>
  <si>
    <t>a492c5ca-3c4e-4759-9d7e-70b59041cd11</t>
  </si>
  <si>
    <t>eca2a8c9-7bad-460d-b992-1886ae3d8ea4</t>
  </si>
  <si>
    <t>d061dfd3-5faa-3001-8205-1e530c7e85ec</t>
  </si>
  <si>
    <t>0C7E85EC</t>
  </si>
  <si>
    <t>a0eb914e-a46e-47c2-a0d0-af51a3e1cdf0</t>
  </si>
  <si>
    <t>e3da4695-8302-4c29-a948-853f7a94b598</t>
  </si>
  <si>
    <t>8dc5659e-a83b-3001-97eb-39de12037069</t>
  </si>
  <si>
    <t>da8f6892-5005-4b0c-8910-930deed19e4d</t>
  </si>
  <si>
    <t>abd0d146-301b-498e-89f1-1c71435c90f0</t>
  </si>
  <si>
    <t>d318ed79-ab62-3001-a5ce-02b7dabb1829</t>
  </si>
  <si>
    <t>DABB1829</t>
  </si>
  <si>
    <t>f948839a-463c-4348-bf0e-51dd884cff1a</t>
  </si>
  <si>
    <t>73ad3d61-62ba-4324-8190-4ae899b33283</t>
  </si>
  <si>
    <t>22fa1a8f-ef0e-3001-9ad7-bc73b14da14b</t>
  </si>
  <si>
    <t>B14DA14B</t>
  </si>
  <si>
    <t>48f10776-eba2-496b-acbf-0243cc93849b</t>
  </si>
  <si>
    <t>4a128ee6-0485-47b7-b5a5-fd4a69505080</t>
  </si>
  <si>
    <t>05dad614-8a88-3001-86cf-660ca60924cc</t>
  </si>
  <si>
    <t>A60924CC</t>
  </si>
  <si>
    <t>d653c5e1-f840-4f46-8dd6-9b87fd7ebd5d</t>
  </si>
  <si>
    <t>ddc79110-8147-4f6d-8f4e-bd3607e23ae6</t>
  </si>
  <si>
    <t>24adbdb1-7d1a-3001-9442-070c3add0174</t>
  </si>
  <si>
    <t>3ADD0174</t>
  </si>
  <si>
    <t>8a2953ce-5dc4-497c-b5c8-c5ce15e98be7</t>
  </si>
  <si>
    <t>52298cad-3494-4d7f-b0d7-04b89090ced7</t>
  </si>
  <si>
    <t>fcc40acf-c947-3001-a051-626619c61a25</t>
  </si>
  <si>
    <t>19C61A25</t>
  </si>
  <si>
    <t>29619aae-a098-495d-bcf0-904cb0261fc7</t>
  </si>
  <si>
    <t>c2b981da-401f-47eb-a87c-176a16395978</t>
  </si>
  <si>
    <t>f5b0c2d9-de3f-3001-889a-eda74eb6c587</t>
  </si>
  <si>
    <t>4EB6C587</t>
  </si>
  <si>
    <t>a74fc16e-b98b-450c-ac54-266f0ac5c812</t>
  </si>
  <si>
    <t>67df172b-e234-4485-b5b0-9a6d33098717</t>
  </si>
  <si>
    <t>c226941e-55f7-3001-b54b-29cd3a292b4f</t>
  </si>
  <si>
    <t>3A292B4F</t>
  </si>
  <si>
    <t>0e440156-bd17-4b02-8077-a978118c8d43</t>
  </si>
  <si>
    <t>17fdcdd0-80d4-496d-ad85-7434cfd396e5</t>
  </si>
  <si>
    <t>1b428af7-7fd6-3001-9fdc-ec457414e790</t>
  </si>
  <si>
    <t>7414E790</t>
  </si>
  <si>
    <t>25660d77-cd1d-4d38-8942-aa5e9567a298</t>
  </si>
  <si>
    <t>c9e4b1a7-e385-4d23-8f2a-5a526748e3ec</t>
  </si>
  <si>
    <t>e9441d30-3ded-3001-9db4-d4cf1db94031</t>
  </si>
  <si>
    <t>1DB94031</t>
  </si>
  <si>
    <t>83b525ae-86ef-4ce4-aa4a-45279ff752ae</t>
  </si>
  <si>
    <t>e16ba43f-3c07-4b3b-ae73-3a3b304ef845</t>
  </si>
  <si>
    <t>4c94ce6d-d793-3001-91f6-00eeb210621c</t>
  </si>
  <si>
    <t>B210621C</t>
  </si>
  <si>
    <t>a9c22cfa-7b0a-42ca-9a20-ddf4b37dd9b1</t>
  </si>
  <si>
    <t>7743b489-fe26-4311-ac50-f0df00383336</t>
  </si>
  <si>
    <t>8013d7c6-2c48-3001-aac6-e809a6246aaa</t>
  </si>
  <si>
    <t>A6246AAA</t>
  </si>
  <si>
    <t>11547bae-59aa-4131-a81f-83e7d5a31127</t>
  </si>
  <si>
    <t>aeae02bd-de9c-4bc3-8787-9b5e9490c18c</t>
  </si>
  <si>
    <t>837af957-34ac-3001-99ad-85ede9dd26c7</t>
  </si>
  <si>
    <t>E9DD26C7</t>
  </si>
  <si>
    <t>aeea5d3e-3514-4157-a833-cdebc8f85a61</t>
  </si>
  <si>
    <t>bca08973-c8ce-4aeb-b1c9-ec337d20f695</t>
  </si>
  <si>
    <t>9defdec3-1e06-3001-96fe-777ed26d9a89</t>
  </si>
  <si>
    <t>D26D9A89</t>
  </si>
  <si>
    <t>25898917-6923-4532-9d5e-3fa00307f5aa</t>
  </si>
  <si>
    <t>ee21e086-1a6a-4ed2-9d64-d66ee54a615f</t>
  </si>
  <si>
    <t>524b8cb4-e042-3001-a4fe-5bcbe3711742</t>
  </si>
  <si>
    <t>E3711742</t>
  </si>
  <si>
    <t>5e91b84f-a1b4-4737-a861-f86d6cb53612</t>
  </si>
  <si>
    <t>b4404ed6-9a5c-4c85-aeae-4aac6c58f492</t>
  </si>
  <si>
    <t>e4b7175b-a977-3001-9f98-6d94cbb901dd</t>
  </si>
  <si>
    <t>CBB901DD</t>
  </si>
  <si>
    <t>49acd103-f307-48e0-8be2-8adba7613613</t>
  </si>
  <si>
    <t>10bd1220-a5ac-4a6e-9c43-0ad5408d286a</t>
  </si>
  <si>
    <t>3ab78185-874e-3001-8d57-667927ec8582</t>
  </si>
  <si>
    <t>27EC8582</t>
  </si>
  <si>
    <t>cf5b7e25-89ff-4dec-aec7-b98844ab5549</t>
  </si>
  <si>
    <t>98c70ba6-02b3-468c-b24e-1051ab3124c0</t>
  </si>
  <si>
    <t>60913119-98c3-3001-ab28-6f013de2c16c</t>
  </si>
  <si>
    <t>3DE2C16C</t>
  </si>
  <si>
    <t>835dd5ff-e119-44a1-8b3c-545a7817f606</t>
  </si>
  <si>
    <t>a7a2eb8d-bdf1-4b43-aa8b-46a047f981d2</t>
  </si>
  <si>
    <t>46fbbeff-f2ec-3001-9b38-cf421c5ebe14</t>
  </si>
  <si>
    <t>1C5EBE14</t>
  </si>
  <si>
    <t>e0523455-e8e1-4f60-9c2c-182a138a6e68</t>
  </si>
  <si>
    <t>70085c71-1a95-4912-a1ac-29fec0d6fc7e</t>
  </si>
  <si>
    <t>12f4afce-f8c8-3001-9208-f141c4e00b02</t>
  </si>
  <si>
    <t>C4E00B02</t>
  </si>
  <si>
    <t>34b8ed5c-7642-4efd-8cac-44f9906f9fa5</t>
  </si>
  <si>
    <t>93ccef52-c8b5-4715-8f34-34451bd701cd</t>
  </si>
  <si>
    <t>fde136a1-6db0-3001-bcca-5bf949ce74e4</t>
  </si>
  <si>
    <t>49CE74E4</t>
  </si>
  <si>
    <t>5da3061d-46f9-445f-b288-ae8f89a1e5ba</t>
  </si>
  <si>
    <t>ba0f5ba4-b0ba-4a09-954e-d964ad585528</t>
  </si>
  <si>
    <t>f578b291-40e8-3001-bd1a-a69ba0313eb2</t>
  </si>
  <si>
    <t>A0313EB2</t>
  </si>
  <si>
    <t>311bac7a-c216-46bb-9cea-5733beed6d46</t>
  </si>
  <si>
    <t>b920d70b-1d48-4455-a062-e86039c9ec9e</t>
  </si>
  <si>
    <t>6be8f611-0c46-3001-a409-9a094987e6e6</t>
  </si>
  <si>
    <t>4987E6E6</t>
  </si>
  <si>
    <t>dcb06bac-fae1-43fa-abeb-372de144204b</t>
  </si>
  <si>
    <t>3f02f86b-76b7-4ee9-bffb-582c5bdc0bae</t>
  </si>
  <si>
    <t>1be167ee-dbae-3001-8f27-e6fdf89e77e6</t>
  </si>
  <si>
    <t>F89E77E6</t>
  </si>
  <si>
    <t>f6d722f3-d878-4bb7-96f2-3f97a2b24e9b</t>
  </si>
  <si>
    <t>bb8f042f-6abc-4488-912f-747f4ab51cf9</t>
  </si>
  <si>
    <t>919f1086-21ae-3001-9531-2b8f73f9f364</t>
  </si>
  <si>
    <t>73F9F364</t>
  </si>
  <si>
    <t>b665b62e-7295-47bc-8820-f408639d7f2b</t>
  </si>
  <si>
    <t>3b179234-6133-4931-bfa6-d6e0a0aa110c</t>
  </si>
  <si>
    <t>1ad5d236-56d6-3001-b5e5-ebc308c88bd9</t>
  </si>
  <si>
    <t>08C88BD9</t>
  </si>
  <si>
    <t>57649141-f419-4704-a95d-2e7dc2344f89</t>
  </si>
  <si>
    <t>26c7a198-5c04-46eb-b088-8ebbb8292c2a</t>
  </si>
  <si>
    <t>061bedb7-fb8e-3001-8a44-fba403b7adde</t>
  </si>
  <si>
    <t>03B7ADDE</t>
  </si>
  <si>
    <t>4aef3476-ee2d-49a8-ac42-a307b636cb5d</t>
  </si>
  <si>
    <t>2c6276a2-ef70-4e62-8202-579a88bf3dd3</t>
  </si>
  <si>
    <t>044a5539-3ccf-3001-8f4e-0e14b4456b3a</t>
  </si>
  <si>
    <t>B4456B3A</t>
  </si>
  <si>
    <t>dfa9f14b-12bc-4e91-abe2-c346bb42bac0</t>
  </si>
  <si>
    <t>6679ae6d-e5c5-406e-adc9-0bff4f58c217</t>
  </si>
  <si>
    <t>0b44afba-8688-3001-8678-0afdbc949487</t>
  </si>
  <si>
    <t>BC949487</t>
  </si>
  <si>
    <t>9585c727-6a4a-4713-8a39-09f1c1fb3cfa</t>
  </si>
  <si>
    <t>90216f3a-d808-4b4e-aa60-34225c60fb13</t>
  </si>
  <si>
    <t>746c9b40-7ea7-3001-9cc8-275a4a98fd65</t>
  </si>
  <si>
    <t>4A98FD65</t>
  </si>
  <si>
    <t>c05ce8d1-1af5-426c-bd68-50dd1f7acedd</t>
  </si>
  <si>
    <t>d1bc37e5-1e63-4fbb-aee5-7fcdeaee8494</t>
  </si>
  <si>
    <t>a66e7597-e0db-3001-a021-5748a99fd8a2</t>
  </si>
  <si>
    <t>A99FD8A2</t>
  </si>
  <si>
    <t>740d924f-de78-4b2a-9cdd-4b8dab5d938c</t>
  </si>
  <si>
    <t>42ad2af0-11da-4595-bdea-116a0436e61f</t>
  </si>
  <si>
    <t>dca47167-ac07-3001-8e0b-88731180ac31</t>
  </si>
  <si>
    <t>1180AC31</t>
  </si>
  <si>
    <t>a3b978b4-f222-470a-90c5-4716d9b9071a</t>
  </si>
  <si>
    <t>45a03eb7-058b-4e51-9a58-f1496a923397</t>
  </si>
  <si>
    <t>0c91fa9f-a8a8-3001-a2d7-9990ba9b85ac</t>
  </si>
  <si>
    <t>BA9B85AC</t>
  </si>
  <si>
    <t>89b29955-a573-4def-86d9-9196fdde1a5e</t>
  </si>
  <si>
    <t>e88eeeae-8b51-4ca6-a87f-b2a3a1189469</t>
  </si>
  <si>
    <t>a6857cdc-859d-3001-ae2e-fe6d50ffd863</t>
  </si>
  <si>
    <t>50FFD863</t>
  </si>
  <si>
    <t>7c743602-5095-49a6-9f8c-5400ddae5b71</t>
  </si>
  <si>
    <t>f4f49732-d9e6-48f1-ad7b-ac2b2340176d</t>
  </si>
  <si>
    <t>d2546f78-0f39-3001-bdc2-56ff364a7dec</t>
  </si>
  <si>
    <t>364A7DEC</t>
  </si>
  <si>
    <t>6e4fd737-007a-4dc6-bbc8-0474585b5aa1</t>
  </si>
  <si>
    <t>93c5c5be-5132-4f33-b2de-421d5fa666a8</t>
  </si>
  <si>
    <t>9a0ab9e7-da29-3001-8e3b-b52a27f04919</t>
  </si>
  <si>
    <t>27F04919</t>
  </si>
  <si>
    <t>c415115d-260e-4461-91ba-9010292f9f66</t>
  </si>
  <si>
    <t>a85e499e-0ef1-4c8c-960c-15f55e9db160</t>
  </si>
  <si>
    <t>55c57fe6-8e9c-3001-8595-738241354b79</t>
  </si>
  <si>
    <t>41354B79</t>
  </si>
  <si>
    <t>4fc2f5dd-1d1f-46a3-8bd4-e3e470c7bc51</t>
  </si>
  <si>
    <t>a8f74e97-c5ef-4ee1-ac3f-7086a8034c1f</t>
  </si>
  <si>
    <t>2f514030-b2c6-3001-887b-90b7045e41c8</t>
  </si>
  <si>
    <t>045E41C8</t>
  </si>
  <si>
    <t>97814ed4-0d22-41c0-a648-9962ac032d98</t>
  </si>
  <si>
    <t>789df80e-213c-4505-92c7-eaf92e9a8aed</t>
  </si>
  <si>
    <t>11f57072-d124-3001-89ce-ff61aa3e28a2</t>
  </si>
  <si>
    <t>AA3E28A2</t>
  </si>
  <si>
    <t>ca2349e2-0006-4d94-a16a-b930b1478761</t>
  </si>
  <si>
    <t>9c5f2c82-67cf-4c14-bbfa-f13c237ea8d7</t>
  </si>
  <si>
    <t>1254afa7-e9ad-3001-964b-4fd4514e046f</t>
  </si>
  <si>
    <t>514E046F</t>
  </si>
  <si>
    <t>5fe2e4ee-ddc5-45b9-a5dd-a30eb199073c</t>
  </si>
  <si>
    <t>dc8ece10-70f9-421c-998e-78a40c716211</t>
  </si>
  <si>
    <t>4ca3f32f-f684-3001-b02c-03f5104e6f49</t>
  </si>
  <si>
    <t>104E6F49</t>
  </si>
  <si>
    <t>fe30d7e1-455a-49a6-9c53-cbe5735a67da</t>
  </si>
  <si>
    <t>e453e13e-574c-4131-acb6-b33c9a4e0d90</t>
  </si>
  <si>
    <t>9c00d522-d0b9-3001-bf9a-169eb0020b52</t>
  </si>
  <si>
    <t>B0020B52</t>
  </si>
  <si>
    <t>24ce8acc-5aaf-4431-bb67-5d852c427d23</t>
  </si>
  <si>
    <t>d120621b-10cf-41ab-84b3-d59c32307770</t>
  </si>
  <si>
    <t>b78a6477-93f7-3001-bd17-ab40595ab246</t>
  </si>
  <si>
    <t>595AB246</t>
  </si>
  <si>
    <t>b8978d44-3bf9-4956-a4b4-256ff4a38af8</t>
  </si>
  <si>
    <t>75c63f69-e18b-425c-91d9-6c738ea17a08</t>
  </si>
  <si>
    <t>2801e490-5002-3001-bef8-55cee6e27fcc</t>
  </si>
  <si>
    <t>E6E27FCC</t>
  </si>
  <si>
    <t>3f48374c-712a-4646-be97-589c96982167</t>
  </si>
  <si>
    <t>09767fb6-ae1b-46fc-bc47-e4bd58c960be</t>
  </si>
  <si>
    <t>81af31c0-34ca-3001-9b6d-d6cd85b3f93d</t>
  </si>
  <si>
    <t>85B3F93D</t>
  </si>
  <si>
    <t>77a3c1b5-7cdf-453d-b52f-9fc94541152a</t>
  </si>
  <si>
    <t>daec9713-c838-4708-af11-18fb4d594c9b</t>
  </si>
  <si>
    <t>2b6ad7f0-3e32-3001-96bf-a21e06b346ff</t>
  </si>
  <si>
    <t>06B346FF</t>
  </si>
  <si>
    <t>d18aa3a1-f3b2-44fd-bc76-ddb5d5949654</t>
  </si>
  <si>
    <t>8c801737-e720-49df-a2de-198f3d70b6f8</t>
  </si>
  <si>
    <t>bc5d24b2-3731-3001-a248-f5ece0248a64</t>
  </si>
  <si>
    <t>E0248A64</t>
  </si>
  <si>
    <t>d7b6555a-41cd-4055-a630-b6935c4615f6</t>
  </si>
  <si>
    <t>a0389668-3bc2-4130-9339-763116369922</t>
  </si>
  <si>
    <t>fcc945a9-6051-3001-9317-065e5e7163f7</t>
  </si>
  <si>
    <t>5E7163F7</t>
  </si>
  <si>
    <t>58bd8cde-58c3-482d-9c6b-8efe8d00fe55</t>
  </si>
  <si>
    <t>77690b86-d229-4ce4-98fb-41b16c801ceb</t>
  </si>
  <si>
    <t>0015328d-5419-3001-839f-c275b61550f6</t>
  </si>
  <si>
    <t>B61550F6</t>
  </si>
  <si>
    <t>c5ba1a39-8d61-4444-8685-596298f60ba9</t>
  </si>
  <si>
    <t>f9844ea6-0fc3-4069-b895-d510b136625f</t>
  </si>
  <si>
    <t>74476a2f-4cdd-3001-84b4-12e8972ff1e0</t>
  </si>
  <si>
    <t>972FF1E0</t>
  </si>
  <si>
    <t>7119ecc4-3e11-4613-a211-ebc4108b8195</t>
  </si>
  <si>
    <t>1d2861af-5e4a-481c-99ee-47f8d3b4c7bb</t>
  </si>
  <si>
    <t>45f57b2f-b056-3001-8569-690792bf2fed</t>
  </si>
  <si>
    <t>92BF2FED</t>
  </si>
  <si>
    <t>3a6c3444-e07e-4fd2-9f7f-e4707cf33105</t>
  </si>
  <si>
    <t>b903bbae-f1cc-49d8-8dc0-c5f944ac534d</t>
  </si>
  <si>
    <t>83b7e31a-278c-3001-92e8-38765027ea53</t>
  </si>
  <si>
    <t>5027EA53</t>
  </si>
  <si>
    <t>d67ca287-76f4-46cb-8ab2-2d851eefc57b</t>
  </si>
  <si>
    <t>7bc44501-9340-4907-acbc-08de03a082c0</t>
  </si>
  <si>
    <t>9ed0bbf1-db63-3001-b164-92f0ee506540</t>
  </si>
  <si>
    <t>EE506540</t>
  </si>
  <si>
    <t>f1d6ed85-56d8-4528-bb09-3301cdc6f972</t>
  </si>
  <si>
    <t>f087ed71-7c51-471d-ae10-b0a065a5fbe8</t>
  </si>
  <si>
    <t>d2d4a7b6-d834-3001-9482-06b03b8ccabf</t>
  </si>
  <si>
    <t>3B8CCABF</t>
  </si>
  <si>
    <t>b8890d52-84ca-43b1-98fd-7d9015f2a294</t>
  </si>
  <si>
    <t>d8d1bf97-98c4-47f8-9a2b-d12264e2af0b</t>
  </si>
  <si>
    <t>d6125f51-6ba8-3001-9ec0-da8c4f4f8a98</t>
  </si>
  <si>
    <t>4F4F8A98</t>
  </si>
  <si>
    <t>23d633bb-2656-4a85-be13-c33774ae68fc</t>
  </si>
  <si>
    <t>72972f3e-92a3-486b-ab96-aa5985cc088f</t>
  </si>
  <si>
    <t>ceb52daf-8e50-3001-831c-1a4c74a0b392</t>
  </si>
  <si>
    <t>74A0B392</t>
  </si>
  <si>
    <t>bd0d9688-28d1-47d0-906d-6311c482cac7</t>
  </si>
  <si>
    <t>4a39bcc9-bdb2-41fb-95ef-e67f0a74aa9f</t>
  </si>
  <si>
    <t>4bb07612-0773-3001-a26c-3d8a6beb9a02</t>
  </si>
  <si>
    <t>6BEB9A02</t>
  </si>
  <si>
    <t>9c214131-fbf9-4458-b615-3e37c648a5dd</t>
  </si>
  <si>
    <t>96516649-cd1d-4cb5-83b7-1349007c41c1</t>
  </si>
  <si>
    <t>61b2b54a-65db-3001-9afd-f60340516341</t>
  </si>
  <si>
    <t>16e89801-8410-4702-bafc-b0e0713969a9</t>
  </si>
  <si>
    <t>e20feec5-903e-4f32-b91b-43d07996b69b</t>
  </si>
  <si>
    <t>d0f89afd-9a49-3001-93ab-08d5f1489a33</t>
  </si>
  <si>
    <t>F1489A33</t>
  </si>
  <si>
    <t>5bee1ca5-8bcb-41a9-9ef4-e4897f01769e</t>
  </si>
  <si>
    <t>0dd87522-d54f-49df-9c0f-9d4f1457aa88</t>
  </si>
  <si>
    <t>444af6ad-169e-3001-a65d-41fbe67c8ea1</t>
  </si>
  <si>
    <t>E67C8EA1</t>
  </si>
  <si>
    <t>4dfaee32-a3d1-4bbc-8240-686503c36a23</t>
  </si>
  <si>
    <t>d3b48ce5-911e-40fc-a3da-4adb0527665e</t>
  </si>
  <si>
    <t>309dfef3-e220-3001-9bd8-02b4855831e3</t>
  </si>
  <si>
    <t>71ba09d3-2976-4e20-9ade-d78cea4f5059</t>
  </si>
  <si>
    <t>f79b0f74-4675-45e1-bcad-7e53fc325bff</t>
  </si>
  <si>
    <t>88462d48-1d10-3001-bdbf-d6af8e0d9679</t>
  </si>
  <si>
    <t>8E0D9679</t>
  </si>
  <si>
    <t>8fe86bc8-bc82-4fbc-8a27-0cdfe64007ca</t>
  </si>
  <si>
    <t>8ea24046-9404-46ab-807e-f3f3630ed41a</t>
  </si>
  <si>
    <t>d140fc11-3b1a-3001-a390-0b3357c2aa55</t>
  </si>
  <si>
    <t>57C2AA55</t>
  </si>
  <si>
    <t>b5702ac2-7cf9-47b0-b2da-52e0a37f9a9c</t>
  </si>
  <si>
    <t>e6e01b40-7f3c-42d0-b375-d4373b4535c0</t>
  </si>
  <si>
    <t>de16591e-1269-3001-b279-687a1282d80b</t>
  </si>
  <si>
    <t>1282D80B</t>
  </si>
  <si>
    <t>4df7b627-3333-4f34-8f43-07145eb86042</t>
  </si>
  <si>
    <t>123067e5-acb0-4395-937b-d5444ec21c53</t>
  </si>
  <si>
    <t>c0731273-dc38-3001-b5d2-c2282189d2b3</t>
  </si>
  <si>
    <t>2189D2B3</t>
  </si>
  <si>
    <t>e50bcd5c-f19f-4a41-a912-932c8d0d1f4c</t>
  </si>
  <si>
    <t>cdcd7f32-8e29-44b1-912a-2f6827dec18a</t>
  </si>
  <si>
    <t>64fb8c50-81de-3001-9f94-3eab69cf53cb</t>
  </si>
  <si>
    <t>69CF53CB</t>
  </si>
  <si>
    <t>11c2cfb8-0f89-4579-be3e-4c7ee5786f27</t>
  </si>
  <si>
    <t>f715e76c-7433-4d3f-bccd-d476904ec8ee</t>
  </si>
  <si>
    <t>9fd40d80-3a73-3001-8256-dfc03530defa</t>
  </si>
  <si>
    <t>3530DEFA</t>
  </si>
  <si>
    <t>3ee49a08-1b48-4f6c-9ef6-15c0028bbbbc</t>
  </si>
  <si>
    <t>8ef328d8-9c71-4878-bf50-84fd7f48ea05</t>
  </si>
  <si>
    <t>9e6943eb-8e5a-3001-8942-d654bb1912d8</t>
  </si>
  <si>
    <t>BB1912D8</t>
  </si>
  <si>
    <t>89d250d8-2c7a-4207-a470-37acbb433c78</t>
  </si>
  <si>
    <t>dc3844fb-c0a8-4b27-930d-a3f8fc69c7ea</t>
  </si>
  <si>
    <t>b06ef48b-14c2-3001-9ee0-c07f7c3b74ac</t>
  </si>
  <si>
    <t>7C3B74AC</t>
  </si>
  <si>
    <t>fd3bd91f-f4c2-4539-8c4f-5cc52c17c242</t>
  </si>
  <si>
    <t>5eb8319e-96ba-499c-a831-444690084f97</t>
  </si>
  <si>
    <t>039ea16b-3f30-3001-bdaa-017f4bf9834a</t>
  </si>
  <si>
    <t>4BF9834A</t>
  </si>
  <si>
    <t>aae44210-8cd6-49cb-bebf-cace776e134b</t>
  </si>
  <si>
    <t>93ee81ec-5e78-4283-957f-0b0833f9286b</t>
  </si>
  <si>
    <t>6e4078a9-2684-3001-9a82-9c404eadce83</t>
  </si>
  <si>
    <t>4EADCE83</t>
  </si>
  <si>
    <t>3459a0ab-73c0-47c4-b16a-d453e74044be</t>
  </si>
  <si>
    <t>4d28c3f2-aaba-4a8c-a73b-f46065c9d225</t>
  </si>
  <si>
    <t>437d885d-f8d3-3001-94ae-64adb6403bd8</t>
  </si>
  <si>
    <t>B6403BD8</t>
  </si>
  <si>
    <t>b9e9ec89-70f6-4d6a-ae49-2424d7bcc9e5</t>
  </si>
  <si>
    <t>7b74c1eb-9fe8-48da-87ca-6b965acdfa45</t>
  </si>
  <si>
    <t>c67c47ca-d2ed-3001-bb7f-2f84ef59b9ce</t>
  </si>
  <si>
    <t>EF59B9CE</t>
  </si>
  <si>
    <t>15080396-9aa1-42e9-a498-593dc3b5a553</t>
  </si>
  <si>
    <t>25a854ce-d673-4434-bf79-3bea70bdf264</t>
  </si>
  <si>
    <t>4c617728-d333-3001-96e3-2626d4cce8fc</t>
  </si>
  <si>
    <t>D4CCE8FC</t>
  </si>
  <si>
    <t>25a47f72-c196-4203-b596-4c081215cd34</t>
  </si>
  <si>
    <t>401a02e0-5ce9-4209-96f8-afaf8f84f8e8</t>
  </si>
  <si>
    <t>6933b06b-543c-3001-a8ee-8c1a293bf905</t>
  </si>
  <si>
    <t>293BF905</t>
  </si>
  <si>
    <t>2be80a3d-9aad-407c-9c41-d4526b1caf9a</t>
  </si>
  <si>
    <t>f561bbd6-0a6f-447f-9347-81d7cc06370c</t>
  </si>
  <si>
    <t>fcbc55f9-6ac1-3001-8d06-a1db8022ea97</t>
  </si>
  <si>
    <t>8022EA97</t>
  </si>
  <si>
    <t>40fc966d-5529-4860-8f1c-27110a658311</t>
  </si>
  <si>
    <t>009326e7-65d8-4683-9748-6cb6e7fb571e</t>
  </si>
  <si>
    <t>35b8b660-fe4c-3001-8fed-c7c1a1dfa359</t>
  </si>
  <si>
    <t>A1DFA359</t>
  </si>
  <si>
    <t>ccde9b62-f27e-4039-b762-46432a6468ca</t>
  </si>
  <si>
    <t>bba53013-789e-4555-a8cb-2d5c287f8da8</t>
  </si>
  <si>
    <t>553acd30-aeac-3001-963d-3e09f356b556</t>
  </si>
  <si>
    <t>F356B556</t>
  </si>
  <si>
    <t>f44545ef-76e4-4a2b-af4e-7db98e9d893b</t>
  </si>
  <si>
    <t>ccfb69c9-f4e7-45ca-9dfd-d89b1cad4759</t>
  </si>
  <si>
    <t>b6356f84-bef2-3001-afe7-fa881c520f1d</t>
  </si>
  <si>
    <t>1C520F1D</t>
  </si>
  <si>
    <t>c115c454-ebe4-4f4f-b5c1-18c2c092c1e7</t>
  </si>
  <si>
    <t>b1a7e43f-aa4f-40ba-af23-faec2fed6b07</t>
  </si>
  <si>
    <t>880c00bd-a41a-3001-8d15-9918de7129e2</t>
  </si>
  <si>
    <t>DE7129E2</t>
  </si>
  <si>
    <t>6d5c2937-4016-40cf-b6f2-d83f354e24cb</t>
  </si>
  <si>
    <t>c69a9694-aa8d-4759-9cf8-671f89c08e7a</t>
  </si>
  <si>
    <t>2ee0d0aa-d034-3001-9561-f33d1c90a241</t>
  </si>
  <si>
    <t>1C90A241</t>
  </si>
  <si>
    <t>2e6ccc3d-a53f-44fb-8b98-e233e6a965cd</t>
  </si>
  <si>
    <t>3ec5bc24-3f34-4768-9f37-f62f4a2659c4</t>
  </si>
  <si>
    <t>dfd51d0b-2d9b-3001-a558-ac1401e9796c</t>
  </si>
  <si>
    <t>01E9796C</t>
  </si>
  <si>
    <t>464532b9-bf36-4722-a129-434be8ad550f</t>
  </si>
  <si>
    <t>6314115e-a17f-43cc-9f67-1846d1cca002</t>
  </si>
  <si>
    <t>c730ac16-b883-3001-82a6-e4446f47cd85</t>
  </si>
  <si>
    <t>6F47CD85</t>
  </si>
  <si>
    <t>d58ecab2-75a3-4c50-8d22-b5c63b2d5f1e</t>
  </si>
  <si>
    <t>c036fbe6-4139-4893-a271-afa54fde9fcc</t>
  </si>
  <si>
    <t>f1bdf86d-b534-3001-8cbb-f921f557ee9c</t>
  </si>
  <si>
    <t>F557EE9C</t>
  </si>
  <si>
    <t>2be7ef72-4155-4b13-aae2-eebaad45de3f</t>
  </si>
  <si>
    <t>b6d7c06a-9043-4c2f-a026-44d1eba5a614</t>
  </si>
  <si>
    <t>160c0727-28fa-3001-8ac5-bfe79878bde5</t>
  </si>
  <si>
    <t>9878BDE5</t>
  </si>
  <si>
    <t>8076dbe4-0745-4dbf-9c4a-0384ac8b8323</t>
  </si>
  <si>
    <t>a5202715-d05c-4bdd-89cd-9fb31f0478f1</t>
  </si>
  <si>
    <t>4a8574ab-165b-3001-80c0-733e6252c9a4</t>
  </si>
  <si>
    <t>6252C9A4</t>
  </si>
  <si>
    <t>7e453307-3c3d-40d1-9d25-09a57c3682a0</t>
  </si>
  <si>
    <t>d83deeb7-77da-43b1-a23a-0eeb3e1f0c81</t>
  </si>
  <si>
    <t>098e4601-e9aa-3001-8912-40e14351aae5</t>
  </si>
  <si>
    <t>4351AAE5</t>
  </si>
  <si>
    <t>c43a9602-c556-4df8-8f3c-457c38d2c7d0</t>
  </si>
  <si>
    <t>49b362bd-acee-4f5b-bdbf-7124a0b7eee8</t>
  </si>
  <si>
    <t>f0fffec4-dda5-3001-a08f-a5eb273eb52d</t>
  </si>
  <si>
    <t>273EB52D</t>
  </si>
  <si>
    <t>2af3b968-6ab8-41e6-a170-5ec02b7bb3f3</t>
  </si>
  <si>
    <t>ec72f70b-f5b7-4885-9a9e-6413f4a922f4</t>
  </si>
  <si>
    <t>c4589c17-799f-3001-a868-6521282ef23a</t>
  </si>
  <si>
    <t>282EF23A</t>
  </si>
  <si>
    <t>e9ec2c05-8dbc-4eb3-b642-a4fc1a58fd57</t>
  </si>
  <si>
    <t>cbe0d523-2988-4714-93eb-806a9f581448</t>
  </si>
  <si>
    <t>c833a6c1-8204-3001-a44a-80befcf4f5d1</t>
  </si>
  <si>
    <t>FCF4F5D1</t>
  </si>
  <si>
    <t>59edc103-d54c-43b5-9214-0bed47f75b8c</t>
  </si>
  <si>
    <t>e7333652-ecce-4455-8317-3c06628af3f0</t>
  </si>
  <si>
    <t>2507899f-8b91-3001-bd6b-8e142edbfb10</t>
  </si>
  <si>
    <t>2EDBFB10</t>
  </si>
  <si>
    <t>a0af0155-bb74-43c6-8b7e-4a266a9d32c1</t>
  </si>
  <si>
    <t>c8652f4c-005d-413e-946a-a143cc4af608</t>
  </si>
  <si>
    <t>549ea637-6171-3001-bb75-f44615c6183f</t>
  </si>
  <si>
    <t>15C6183F</t>
  </si>
  <si>
    <t>3bef894c-2e74-4d20-89e8-7cd64154ecc9</t>
  </si>
  <si>
    <t>ed4ce4b2-e475-40ae-9869-34830f84f6fc</t>
  </si>
  <si>
    <t>dbf47092-c687-3001-ac0b-5dc9a1721931</t>
  </si>
  <si>
    <t>A1721931</t>
  </si>
  <si>
    <t>d134ad7b-b10b-4148-94b2-6eb747ec56b5</t>
  </si>
  <si>
    <t>68abb58a-02d4-4614-b9a0-9098a1e75098</t>
  </si>
  <si>
    <t>b1949cee-ef5d-3001-8d9b-f514bfed1a7c</t>
  </si>
  <si>
    <t>BFED1A7C</t>
  </si>
  <si>
    <t>410f2982-a0ce-4d06-b56b-016d46c36a9f</t>
  </si>
  <si>
    <t>ec66cde2-4acf-4390-b9da-d9061fcdcef0</t>
  </si>
  <si>
    <t>c29ba52c-694f-3001-87a1-27a45f80ced8</t>
  </si>
  <si>
    <t>5F80CED8</t>
  </si>
  <si>
    <t>97cf108e-323e-4af8-9676-0e4ffc457361</t>
  </si>
  <si>
    <t>9b15153e-577d-438f-8ecb-6959fb441cad</t>
  </si>
  <si>
    <t>0444bd10-516e-3001-afc4-080e3ee152b9</t>
  </si>
  <si>
    <t>3EE152B9</t>
  </si>
  <si>
    <t>f52aced8-f58e-449d-807a-1b21dc05d0b8</t>
  </si>
  <si>
    <t>37913132-0c64-4da5-a5b2-fed9bb4a74b2</t>
  </si>
  <si>
    <t>d32fe83b-2311-3001-b09b-94f19b3c6350</t>
  </si>
  <si>
    <t>9B3C6350</t>
  </si>
  <si>
    <t>446db5a2-66db-4528-8674-04926a9505f5</t>
  </si>
  <si>
    <t>2d90cfa0-0caf-4201-908d-1f5e2fe817af</t>
  </si>
  <si>
    <t>5216f630-583c-3001-8331-e19bec53c3b5</t>
  </si>
  <si>
    <t>EC53C3B5</t>
  </si>
  <si>
    <t>1238b723-95dd-4b47-b50e-4566fe171505</t>
  </si>
  <si>
    <t>28debc8b-ba97-40cc-8d01-7a7f6c4fa018</t>
  </si>
  <si>
    <t>56b7a04a-0182-3001-8964-1698bce07775</t>
  </si>
  <si>
    <t>BCE07775</t>
  </si>
  <si>
    <t>fde6c25b-3d06-4ad7-beb5-0d99928642de</t>
  </si>
  <si>
    <t>0ec5589b-498c-4def-a056-0a228767d4ee</t>
  </si>
  <si>
    <t>82d83f35-cea0-3001-be6d-daa3fc2def62</t>
  </si>
  <si>
    <t>FC2DEF62</t>
  </si>
  <si>
    <t>4ae88d78-c0f7-4618-96e3-cb0cf08c1c11</t>
  </si>
  <si>
    <t>695acbea-e154-4c73-92b9-e2ac4e734624</t>
  </si>
  <si>
    <t>ba622b66-5028-3001-b802-87a8123cf1a3</t>
  </si>
  <si>
    <t>123CF1A3</t>
  </si>
  <si>
    <t>f065868d-8315-4b31-b51d-5c922a56d85a</t>
  </si>
  <si>
    <t>91d2913d-3b23-4775-8f8a-a2a5fd3d2fa5</t>
  </si>
  <si>
    <t>8b1785b1-9705-3001-ab8f-db600aada49e</t>
  </si>
  <si>
    <t>0AADA49E</t>
  </si>
  <si>
    <t>ce82dde1-d8a2-4911-a1ef-78971144db22</t>
  </si>
  <si>
    <t>3433378d-874a-4da0-8570-7d2494604dca</t>
  </si>
  <si>
    <t>b2cd4289-1510-3001-a5cd-41f4ad303cb3</t>
  </si>
  <si>
    <t>AD303CB3</t>
  </si>
  <si>
    <t>1de71f6d-55db-4af3-9eb0-efb12aa981e9</t>
  </si>
  <si>
    <t>6889cb9f-f699-4d29-8dbc-fa650d10be5e</t>
  </si>
  <si>
    <t>d3c4a1c5-b9cb-3001-9f48-d7f464f5c2e8</t>
  </si>
  <si>
    <t>64F5C2E8</t>
  </si>
  <si>
    <t>3d2f8d59-8992-4438-978d-5368db28521a</t>
  </si>
  <si>
    <t>ac6edfdc-5ec5-4c2e-ae7b-25140120cfe9</t>
  </si>
  <si>
    <t>9abe6aee-a9ae-3001-be45-9a5639170e3c</t>
  </si>
  <si>
    <t>39170E3C</t>
  </si>
  <si>
    <t>31a42e46-ccf6-4d95-85c7-c687b1ede29b</t>
  </si>
  <si>
    <t>dc9a0874-6ea0-443d-a631-167e2bafd0a9</t>
  </si>
  <si>
    <t>04ba9f12-4589-3001-b199-ec56aa426e2b</t>
  </si>
  <si>
    <t>AA426E2B</t>
  </si>
  <si>
    <t>021c2bb3-3985-4e11-a5f3-274acc41d95f</t>
  </si>
  <si>
    <t>1c2b573f-e569-476c-8f45-b4cea2b42ef2</t>
  </si>
  <si>
    <t>8d329fa8-370e-3001-900d-c10552f294c0</t>
  </si>
  <si>
    <t>52F294C0</t>
  </si>
  <si>
    <t>7b32e36a-1031-4aef-8b0e-ca53645a8b0d</t>
  </si>
  <si>
    <t>58ea4cc0-1bad-4fb6-8d3d-bf4f1c2354d5</t>
  </si>
  <si>
    <t>512a3217-4809-3001-9c02-a7d1e8daec47</t>
  </si>
  <si>
    <t>E8DAEC47</t>
  </si>
  <si>
    <t>e267342b-0892-4cc7-a402-22eeb946c271</t>
  </si>
  <si>
    <t>6dd0014f-5cd0-424d-ac15-3ba7d24dbc29</t>
  </si>
  <si>
    <t>04eb4c8c-b3a7-3001-8c0b-e34052544d84</t>
  </si>
  <si>
    <t>52544D84</t>
  </si>
  <si>
    <t>a85fd6a1-4072-48cf-b4a0-7eedac5f7191</t>
  </si>
  <si>
    <t>3855f960-388b-460d-be1d-0ae6eac96828</t>
  </si>
  <si>
    <t>1 Chicken Fried Chicken Sandwich missing</t>
  </si>
  <si>
    <t>59a28ae4-8528-3001-ab32-9b61a979a7d6</t>
  </si>
  <si>
    <t>A979A7D6</t>
  </si>
  <si>
    <t>f8b81f99-2daf-435f-a863-b283f7578b5a</t>
  </si>
  <si>
    <t>2eb22043-e75e-4cf6-9b15-5c6026e97bed</t>
  </si>
  <si>
    <t>82288f6b-301b-3001-ab87-b0cd15f7c061</t>
  </si>
  <si>
    <t>15F7C061</t>
  </si>
  <si>
    <t>ffebf5a7-ede2-4881-877f-c0ee30d7ad25</t>
  </si>
  <si>
    <t>e0ed7561-62a1-4e92-ab4a-7b383e5dc44e</t>
  </si>
  <si>
    <t>7904cf99-9419-3001-8a16-9559138caffa</t>
  </si>
  <si>
    <t>138CAFFA</t>
  </si>
  <si>
    <t>863f3872-1b95-4371-a72e-b9201e220574</t>
  </si>
  <si>
    <t>05ec3c25-fe1f-42de-8c13-16c1cad4ac7e</t>
  </si>
  <si>
    <t>c3a7266b-ae75-3001-994d-30a46a30056f</t>
  </si>
  <si>
    <t>6A30056F</t>
  </si>
  <si>
    <t>32837d51-082c-42a0-aaad-aef9fcc30613</t>
  </si>
  <si>
    <t>5faf2fc0-6ce2-4c1a-bd76-bb5173729c0c</t>
  </si>
  <si>
    <t>1bd24aa9-d5f7-3001-bda6-5f65ffc4386f</t>
  </si>
  <si>
    <t>FFC4386F</t>
  </si>
  <si>
    <t>5a5c5c3c-9a94-4fea-bc8a-21aefbdb2194</t>
  </si>
  <si>
    <t>0056bf16-3acb-4030-b29b-1cdf869c2520</t>
  </si>
  <si>
    <t>bfa128da-2e3b-3001-abfb-a61d219c6032</t>
  </si>
  <si>
    <t>219C6032</t>
  </si>
  <si>
    <t>31a8a6a0-cb5c-43ff-8c03-a56a5d980cf3</t>
  </si>
  <si>
    <t>02b1acb6-4e07-4756-bca6-cf2ff0de35b2</t>
  </si>
  <si>
    <t>ed1f2890-e32a-3001-a9e6-32e773dd4a29</t>
  </si>
  <si>
    <t>73DD4A29</t>
  </si>
  <si>
    <t>df04dbc3-bc5b-4fb9-883a-f97d7733409f</t>
  </si>
  <si>
    <t>a92fbc7b-235d-4cad-8420-091a0118bde0</t>
  </si>
  <si>
    <t>de3c2699-dca5-3001-be9b-58ec3013bf20</t>
  </si>
  <si>
    <t>3013BF20</t>
  </si>
  <si>
    <t>4d666d45-299a-4dad-986c-ea05ea7126b1</t>
  </si>
  <si>
    <t>750010fd-2f80-4e41-8559-9b60c3508c3f</t>
  </si>
  <si>
    <t>8a62c779-2f40-3001-9e5a-0b28d4c330d4</t>
  </si>
  <si>
    <t>D4C330D4</t>
  </si>
  <si>
    <t>e0185c8f-695a-4f8a-9808-0b02fe96d73c</t>
  </si>
  <si>
    <t>1f95ce34-6535-422e-bd44-d8ce54290607</t>
  </si>
  <si>
    <t>4ceb8909-4f7f-3001-b11d-71f0ea43a8aa</t>
  </si>
  <si>
    <t>EA43A8AA</t>
  </si>
  <si>
    <t>8019a935-4af8-40c0-a2b0-8391d7e45ce6</t>
  </si>
  <si>
    <t>39e5faab-066a-44e1-99fe-3c96ce4af994</t>
  </si>
  <si>
    <t>316b9b5c-9266-3001-a8fb-8a15a9bc127c</t>
  </si>
  <si>
    <t>A9BC127C</t>
  </si>
  <si>
    <t>95313824-27de-4ffa-b0b0-b16e348e29f9</t>
  </si>
  <si>
    <t>765365c0-2a00-4379-b13a-4b20aea9af51</t>
  </si>
  <si>
    <t>49c644c5-562d-3001-a0dd-52ac952486ac</t>
  </si>
  <si>
    <t>952486AC</t>
  </si>
  <si>
    <t>0945ac68-30da-41ea-92f5-9bb976fcb16f</t>
  </si>
  <si>
    <t>5fb7c50b-3b36-4f56-83ca-dbf97fdca81b</t>
  </si>
  <si>
    <t>Row Labels</t>
  </si>
  <si>
    <t>Grand Total</t>
  </si>
  <si>
    <t>Sum of Subtotal</t>
  </si>
  <si>
    <t>Sum of Subtotal tax passed to merchant</t>
  </si>
  <si>
    <t>Sum of Staff tip</t>
  </si>
  <si>
    <t>Sum of Commission</t>
  </si>
  <si>
    <t>Sum of Commission tax</t>
  </si>
  <si>
    <t>Sum of Net total</t>
  </si>
  <si>
    <t>Sum of Customer discounts from marketing | (funded by you)</t>
  </si>
  <si>
    <t>Sum of Customer discounts from marketing | (funded by DoorDash)</t>
  </si>
  <si>
    <t>Sum of DoorDash marketing credit</t>
  </si>
  <si>
    <t>Sum of Error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</si>
</sst>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dd/mm/yyyy"/>
    </dxf>
    <dxf>
      <numFmt numFmtId="29" formatCode="mm:ss.0"/>
    </dxf>
    <dxf>
      <numFmt numFmtId="29" formatCode="mm:ss.0"/>
    </dxf>
    <dxf>
      <numFmt numFmtId="29" formatCode="mm:ss.0"/>
    </dxf>
    <dxf>
      <numFmt numFmtId="19" formatCode="dd/mm/yyyy"/>
    </dxf>
    <dxf>
      <numFmt numFmtId="29" formatCode="mm:ss.0"/>
    </dxf>
    <dxf>
      <numFmt numFmtId="19" formatCode="dd/mm/yyyy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TOUSCH" refreshedDate="46267.597810995372" createdVersion="8" refreshedVersion="8" minRefreshableVersion="3" recordCount="196" xr:uid="{F17D99D9-4F4F-4680-8856-5064B0EA66D1}">
  <cacheSource type="worksheet">
    <worksheetSource name="Table2"/>
  </cacheSource>
  <cacheFields count="44">
    <cacheField name="Timestamp UTC time" numFmtId="47">
      <sharedItems containsSemiMixedTypes="0" containsNonDate="0" containsDate="1" containsString="0" minDate="2026-06-01T17:22:37" maxDate="2026-06-30T22:49:31"/>
    </cacheField>
    <cacheField name="Timestamp UTC date" numFmtId="14">
      <sharedItems containsSemiMixedTypes="0" containsNonDate="0" containsDate="1" containsString="0" minDate="2026-06-01T00:00:00" maxDate="2026-07-01T00:00:00"/>
    </cacheField>
    <cacheField name="Timestamp local time" numFmtId="47">
      <sharedItems containsSemiMixedTypes="0" containsNonDate="0" containsDate="1" containsString="0" minDate="2026-06-01T12:22:37" maxDate="2026-06-30T17:49:31"/>
    </cacheField>
    <cacheField name="Timestamp local date" numFmtId="14">
      <sharedItems containsSemiMixedTypes="0" containsNonDate="0" containsDate="1" containsString="0" minDate="2026-06-01T00:00:00" maxDate="2026-07-01T00:00:00"/>
    </cacheField>
    <cacheField name="Order received local time" numFmtId="47">
      <sharedItems containsSemiMixedTypes="0" containsNonDate="0" containsDate="1" containsString="0" minDate="2026-06-01T12:07:09" maxDate="2026-06-30T16:13:47"/>
    </cacheField>
    <cacheField name="Order pickup local time" numFmtId="47">
      <sharedItems containsSemiMixedTypes="0" containsNonDate="0" containsDate="1" containsString="0" minDate="2026-06-01T12:22:36" maxDate="2026-06-30T17:49:30"/>
    </cacheField>
    <cacheField name="Payout time" numFmtId="47">
      <sharedItems containsSemiMixedTypes="0" containsNonDate="0" containsDate="1" containsString="0" minDate="2026-06-11T13:03:54" maxDate="2026-07-09T10:30:27"/>
    </cacheField>
    <cacheField name="Payout date" numFmtId="14">
      <sharedItems containsSemiMixedTypes="0" containsNonDate="0" containsDate="1" containsString="0" minDate="2026-06-11T00:00:00" maxDate="2026-07-10T00:00:00"/>
    </cacheField>
    <cacheField name="Business ID" numFmtId="0">
      <sharedItems containsSemiMixedTypes="0" containsString="0" containsNumber="1" containsInteger="1" minValue="11717" maxValue="11717"/>
    </cacheField>
    <cacheField name="Business name" numFmtId="0">
      <sharedItems/>
    </cacheField>
    <cacheField name="Store ID" numFmtId="0">
      <sharedItems containsSemiMixedTypes="0" containsString="0" containsNumber="1" containsInteger="1" minValue="241736" maxValue="241736"/>
    </cacheField>
    <cacheField name="Store name" numFmtId="0">
      <sharedItems/>
    </cacheField>
    <cacheField name="Merchant store ID" numFmtId="0">
      <sharedItems/>
    </cacheField>
    <cacheField name="Transaction type" numFmtId="0">
      <sharedItems/>
    </cacheField>
    <cacheField name="Delivery UUID" numFmtId="0">
      <sharedItems/>
    </cacheField>
    <cacheField name="DoorDash transaction ID" numFmtId="0">
      <sharedItems containsSemiMixedTypes="0" containsString="0" containsNumber="1" containsInteger="1" minValue="17324835924" maxValue="17651489916"/>
    </cacheField>
    <cacheField name="DoorDash order ID" numFmtId="0">
      <sharedItems containsMixedTypes="1" containsNumber="1" containsInteger="1" minValue="12037069" maxValue="855831000"/>
    </cacheField>
    <cacheField name="Merchant delivery ID" numFmtId="0">
      <sharedItems/>
    </cacheField>
    <cacheField name="POS order ID" numFmtId="0">
      <sharedItems/>
    </cacheField>
    <cacheField name="Channel" numFmtId="0">
      <sharedItems/>
    </cacheField>
    <cacheField name="Description" numFmtId="0">
      <sharedItems/>
    </cacheField>
    <cacheField name="Final order status" numFmtId="0">
      <sharedItems count="2">
        <s v="Picked Up"/>
        <s v="Delivered"/>
      </sharedItems>
    </cacheField>
    <cacheField name="Currency" numFmtId="0">
      <sharedItems/>
    </cacheField>
    <cacheField name="Subtotal" numFmtId="0">
      <sharedItems containsSemiMixedTypes="0" containsString="0" containsNumber="1" minValue="0" maxValue="233.01"/>
    </cacheField>
    <cacheField name="Subtotal tax passed to merchant" numFmtId="0">
      <sharedItems containsSemiMixedTypes="0" containsString="0" containsNumber="1" minValue="0" maxValue="18.64"/>
    </cacheField>
    <cacheField name="Staff tip" numFmtId="0">
      <sharedItems containsSemiMixedTypes="0" containsString="0" containsNumber="1" minValue="0" maxValue="13.11"/>
    </cacheField>
    <cacheField name="Commission" numFmtId="0">
      <sharedItems containsSemiMixedTypes="0" containsString="0" containsNumber="1" minValue="-17.57" maxValue="0"/>
    </cacheField>
    <cacheField name="Commission tax" numFmtId="0">
      <sharedItems containsSemiMixedTypes="0" containsString="0" containsNumber="1" minValue="-0.92" maxValue="0"/>
    </cacheField>
    <cacheField name="Payment processing fee" numFmtId="0">
      <sharedItems containsSemiMixedTypes="0" containsString="0" containsNumber="1" containsInteger="1" minValue="0" maxValue="0"/>
    </cacheField>
    <cacheField name="Marketing fees | (including any applicable taxes)" numFmtId="0">
      <sharedItems containsSemiMixedTypes="0" containsString="0" containsNumber="1" containsInteger="1" minValue="0" maxValue="0"/>
    </cacheField>
    <cacheField name="Customer discounts from marketing | (funded by you)" numFmtId="0">
      <sharedItems containsSemiMixedTypes="0" containsString="0" containsNumber="1" containsInteger="1" minValue="-8" maxValue="0"/>
    </cacheField>
    <cacheField name="Customer discounts from marketing | (funded by DoorDash)" numFmtId="0">
      <sharedItems containsSemiMixedTypes="0" containsString="0" containsNumber="1" minValue="-10" maxValue="0"/>
    </cacheField>
    <cacheField name="Customer discounts from marketing | (funded by a third-party)" numFmtId="0">
      <sharedItems containsSemiMixedTypes="0" containsString="0" containsNumber="1" containsInteger="1" minValue="0" maxValue="0"/>
    </cacheField>
    <cacheField name="DoorDash marketing credit" numFmtId="0">
      <sharedItems containsSemiMixedTypes="0" containsString="0" containsNumber="1" minValue="0" maxValue="10"/>
    </cacheField>
    <cacheField name="Third-party contribution" numFmtId="0">
      <sharedItems containsSemiMixedTypes="0" containsString="0" containsNumber="1" containsInteger="1" minValue="0" maxValue="0"/>
    </cacheField>
    <cacheField name="Error charges" numFmtId="0">
      <sharedItems containsSemiMixedTypes="0" containsString="0" containsNumber="1" minValue="-9.6199999999999992" maxValue="0"/>
    </cacheField>
    <cacheField name="Adjustments" numFmtId="0">
      <sharedItems containsSemiMixedTypes="0" containsString="0" containsNumber="1" containsInteger="1" minValue="0" maxValue="0"/>
    </cacheField>
    <cacheField name="Net total" numFmtId="0">
      <sharedItems containsSemiMixedTypes="0" containsString="0" containsNumber="1" minValue="-9.6199999999999992" maxValue="236.75"/>
    </cacheField>
    <cacheField name="Pre-adjusted subtotal" numFmtId="0">
      <sharedItems containsSemiMixedTypes="0" containsString="0" containsNumber="1" containsInteger="1" minValue="0" maxValue="0"/>
    </cacheField>
    <cacheField name="Pre-adjusted tax subtotal" numFmtId="0">
      <sharedItems containsSemiMixedTypes="0" containsString="0" containsNumber="1" containsInteger="1" minValue="0" maxValue="0"/>
    </cacheField>
    <cacheField name="Subtotal for tax" numFmtId="0">
      <sharedItems containsSemiMixedTypes="0" containsString="0" containsNumber="1" minValue="0" maxValue="233.01"/>
    </cacheField>
    <cacheField name="Subtotal tax remitted by DoorDash to tax authorities" numFmtId="0">
      <sharedItems containsSemiMixedTypes="0" containsString="0" containsNumber="1" containsInteger="1" minValue="0" maxValue="0"/>
    </cacheField>
    <cacheField name="Tax remitted by DoorDash on fees DoorDash charges to merchant" numFmtId="0">
      <sharedItems containsSemiMixedTypes="0" containsString="0" containsNumber="1" containsInteger="1" minValue="0" maxValue="0"/>
    </cacheField>
    <cacheField name="Payout ID" numFmtId="0">
      <sharedItems containsSemiMixedTypes="0" containsString="0" containsNumber="1" containsInteger="1" minValue="585632794" maxValue="592783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d v="2026-06-30T22:49:31"/>
    <d v="2026-06-30T00:00:00"/>
    <d v="2026-06-30T17:49:31"/>
    <d v="2026-06-30T00:00:00"/>
    <d v="2026-06-30T16:13:47"/>
    <d v="2026-06-30T17:49:30"/>
    <d v="2026-07-09T10:30:27"/>
    <d v="2026-07-09T00:00:00"/>
    <n v="11717"/>
    <s v="Country Burger"/>
    <n v="241736"/>
    <s v="Country Burger (Murphy Rd)"/>
    <s v="NULL"/>
    <s v="Order"/>
    <s v="8b4f9d37-4aef-3001-8860-81df97928bc8"/>
    <n v="17651489916"/>
    <s v="97928BC8"/>
    <s v="7256e8d5-3ddb-497b-8d97-ecbb6042ffe7"/>
    <s v="35ac6af1-c7c2-444d-b12f-b2fdd0fe1cce"/>
    <s v="Marketplace"/>
    <s v="NULL"/>
    <x v="0"/>
    <s v="USD"/>
    <n v="70.239999999999995"/>
    <n v="5.62"/>
    <n v="0"/>
    <n v="-4.21"/>
    <n v="-0.28000000000000003"/>
    <n v="0"/>
    <n v="0"/>
    <n v="0"/>
    <n v="0"/>
    <n v="0"/>
    <n v="0"/>
    <n v="0"/>
    <n v="0"/>
    <n v="0"/>
    <n v="71.37"/>
    <n v="0"/>
    <n v="0"/>
    <n v="70.239999999999995"/>
    <n v="0"/>
    <n v="0"/>
    <n v="592783586"/>
  </r>
  <r>
    <d v="2026-06-30T18:52:16"/>
    <d v="2026-06-30T00:00:00"/>
    <d v="2026-06-30T13:52:16"/>
    <d v="2026-06-30T00:00:00"/>
    <d v="2026-06-30T13:44:50"/>
    <d v="2026-06-30T13:52:15"/>
    <d v="2026-07-09T10:30:27"/>
    <d v="2026-07-09T00:00:00"/>
    <n v="11717"/>
    <s v="Country Burger"/>
    <n v="241736"/>
    <s v="Country Burger (Murphy Rd)"/>
    <s v="NULL"/>
    <s v="Order"/>
    <s v="dcd77083-29fe-3001-89f3-da6a42b09faf"/>
    <n v="17648919840"/>
    <s v="42B09FAF"/>
    <s v="06dcd902-37ac-4e42-b381-5a472c5c00fe"/>
    <s v="c7d6f3f2-0bf9-4915-87a3-785a798235ec"/>
    <s v="Marketplace"/>
    <s v="NULL"/>
    <x v="1"/>
    <s v="USD"/>
    <n v="12.49"/>
    <n v="0.36"/>
    <n v="0"/>
    <n v="-0.67"/>
    <n v="-0.02"/>
    <n v="0"/>
    <n v="0"/>
    <n v="-8"/>
    <n v="0"/>
    <n v="0"/>
    <n v="0"/>
    <n v="0"/>
    <n v="0"/>
    <n v="0"/>
    <n v="4.16"/>
    <n v="0"/>
    <n v="0"/>
    <n v="4.49"/>
    <n v="0"/>
    <n v="0"/>
    <n v="592783586"/>
  </r>
  <r>
    <d v="2026-06-30T17:56:44"/>
    <d v="2026-06-30T00:00:00"/>
    <d v="2026-06-30T12:56:44"/>
    <d v="2026-06-30T00:00:00"/>
    <d v="2026-06-30T12:48:33"/>
    <d v="2026-06-30T12:56:43"/>
    <d v="2026-07-09T10:30:27"/>
    <d v="2026-07-09T00:00:00"/>
    <n v="11717"/>
    <s v="Country Burger"/>
    <n v="241736"/>
    <s v="Country Burger (Murphy Rd)"/>
    <s v="NULL"/>
    <s v="Order"/>
    <s v="31157274-cee6-3001-aab6-e7acea4346c1"/>
    <n v="17648325928"/>
    <s v="EA4346C1"/>
    <s v="95557930-73a7-42f3-b720-695d5cb3b9bf"/>
    <s v="c5fc50f7-3e4f-4e15-bb79-46a870ff27ba"/>
    <s v="Marketplace"/>
    <s v="NULL"/>
    <x v="1"/>
    <s v="USD"/>
    <n v="13.24"/>
    <n v="1.06"/>
    <n v="0"/>
    <n v="-1.99"/>
    <n v="-0.05"/>
    <n v="0"/>
    <n v="0"/>
    <n v="0"/>
    <n v="0"/>
    <n v="0"/>
    <n v="0"/>
    <n v="0"/>
    <n v="0"/>
    <n v="0"/>
    <n v="12.26"/>
    <n v="0"/>
    <n v="0"/>
    <n v="13.24"/>
    <n v="0"/>
    <n v="0"/>
    <n v="592783586"/>
  </r>
  <r>
    <d v="2026-06-30T17:53:11"/>
    <d v="2026-06-30T00:00:00"/>
    <d v="2026-06-30T12:53:11"/>
    <d v="2026-06-30T00:00:00"/>
    <d v="2026-06-30T12:41:34"/>
    <d v="2026-06-30T12:53:10"/>
    <d v="2026-07-09T10:30:27"/>
    <d v="2026-07-09T00:00:00"/>
    <n v="11717"/>
    <s v="Country Burger"/>
    <n v="241736"/>
    <s v="Country Burger (Murphy Rd)"/>
    <s v="NULL"/>
    <s v="Order"/>
    <s v="6dea2650-7a32-3001-b049-5b14498f45d6"/>
    <n v="17648288801"/>
    <s v="498F45D6"/>
    <s v="6bbefabb-7e27-422c-83bb-6238f4b88ce5"/>
    <s v="53baffee-70cf-48f7-9bdd-f18e2244a65b"/>
    <s v="Marketplace"/>
    <s v="NULL"/>
    <x v="1"/>
    <s v="USD"/>
    <n v="13.48"/>
    <n v="1.08"/>
    <n v="0"/>
    <n v="-2.02"/>
    <n v="-0.05"/>
    <n v="0"/>
    <n v="0"/>
    <n v="0"/>
    <n v="0"/>
    <n v="0"/>
    <n v="0"/>
    <n v="0"/>
    <n v="0"/>
    <n v="0"/>
    <n v="12.49"/>
    <n v="0"/>
    <n v="0"/>
    <n v="13.48"/>
    <n v="0"/>
    <n v="0"/>
    <n v="592783586"/>
  </r>
  <r>
    <d v="2026-06-29T23:20:18"/>
    <d v="2026-06-29T00:00:00"/>
    <d v="2026-06-29T18:20:18"/>
    <d v="2026-06-29T00:00:00"/>
    <d v="2026-06-29T18:08:39"/>
    <d v="2026-06-29T18:20:17"/>
    <d v="2026-07-09T10:30:27"/>
    <d v="2026-07-09T00:00:00"/>
    <n v="11717"/>
    <s v="Country Burger"/>
    <n v="241736"/>
    <s v="Country Burger (Murphy Rd)"/>
    <s v="NULL"/>
    <s v="Order"/>
    <s v="4fd376b5-7335-3001-954c-a00c9b330813"/>
    <n v="17641160534"/>
    <s v="9B330813"/>
    <s v="52897ee0-ce7f-43fa-8c55-c060e63d51e2"/>
    <s v="f9b93b7e-7e56-4b2d-8b81-f2df3de4b285"/>
    <s v="Marketplace"/>
    <s v="NULL"/>
    <x v="1"/>
    <s v="USD"/>
    <n v="31.71"/>
    <n v="2.54"/>
    <n v="0"/>
    <n v="-4.76"/>
    <n v="-0.13"/>
    <n v="0"/>
    <n v="0"/>
    <n v="0"/>
    <n v="-2"/>
    <n v="0"/>
    <n v="2"/>
    <n v="0"/>
    <n v="0"/>
    <n v="0"/>
    <n v="29.36"/>
    <n v="0"/>
    <n v="0"/>
    <n v="31.71"/>
    <n v="0"/>
    <n v="0"/>
    <n v="592783586"/>
  </r>
  <r>
    <d v="2026-06-29T23:14:09"/>
    <d v="2026-06-29T00:00:00"/>
    <d v="2026-06-29T18:14:09"/>
    <d v="2026-06-29T00:00:00"/>
    <d v="2026-06-29T17:55:21"/>
    <d v="2026-06-29T18:14:08"/>
    <d v="2026-07-09T10:30:27"/>
    <d v="2026-07-09T00:00:00"/>
    <n v="11717"/>
    <s v="Country Burger"/>
    <n v="241736"/>
    <s v="Country Burger (Murphy Rd)"/>
    <s v="NULL"/>
    <s v="Order"/>
    <s v="df548542-eeb1-3001-bf62-64e9b59743bd"/>
    <n v="17641079063"/>
    <s v="B59743BD"/>
    <s v="a7b99dc6-47e9-4e9e-b81d-21f374871e45"/>
    <s v="e98847f6-c888-4883-a6dd-1c2783572490"/>
    <s v="Marketplace"/>
    <s v="NULL"/>
    <x v="1"/>
    <s v="USD"/>
    <n v="25.96"/>
    <n v="2.08"/>
    <n v="0"/>
    <n v="-3.89"/>
    <n v="-0.1"/>
    <n v="0"/>
    <n v="0"/>
    <n v="0"/>
    <n v="0"/>
    <n v="0"/>
    <n v="0"/>
    <n v="0"/>
    <n v="0"/>
    <n v="0"/>
    <n v="24.05"/>
    <n v="0"/>
    <n v="0"/>
    <n v="25.96"/>
    <n v="0"/>
    <n v="0"/>
    <n v="592783586"/>
  </r>
  <r>
    <d v="2026-06-29T22:53:30"/>
    <d v="2026-06-29T00:00:00"/>
    <d v="2026-06-29T17:53:30"/>
    <d v="2026-06-29T00:00:00"/>
    <d v="2026-06-29T17:43:51"/>
    <d v="2026-06-29T17:53:29"/>
    <d v="2026-07-09T10:30:27"/>
    <d v="2026-07-09T00:00:00"/>
    <n v="11717"/>
    <s v="Country Burger"/>
    <n v="241736"/>
    <s v="Country Burger (Murphy Rd)"/>
    <s v="NULL"/>
    <s v="Order"/>
    <s v="00bc4d85-54e2-3001-a9be-8aa1e5617823"/>
    <n v="17640773445"/>
    <s v="E5617823"/>
    <s v="8379e1f4-59a1-4639-9b08-13cac19d1f2d"/>
    <s v="dd7a1e9f-4bf9-4171-8ed9-7eef007769da"/>
    <s v="Marketplace"/>
    <s v="NULL"/>
    <x v="1"/>
    <s v="USD"/>
    <n v="21.24"/>
    <n v="1.7"/>
    <n v="0"/>
    <n v="-3.19"/>
    <n v="-0.08"/>
    <n v="0"/>
    <n v="0"/>
    <n v="0"/>
    <n v="0"/>
    <n v="0"/>
    <n v="0"/>
    <n v="0"/>
    <n v="0"/>
    <n v="0"/>
    <n v="19.670000000000002"/>
    <n v="0"/>
    <n v="0"/>
    <n v="21.24"/>
    <n v="0"/>
    <n v="0"/>
    <n v="592783586"/>
  </r>
  <r>
    <d v="2026-06-29T22:13:58"/>
    <d v="2026-06-29T00:00:00"/>
    <d v="2026-06-29T17:13:58"/>
    <d v="2026-06-29T00:00:00"/>
    <d v="2026-06-29T17:02:20"/>
    <d v="2026-06-29T17:13:56"/>
    <d v="2026-07-09T10:30:27"/>
    <d v="2026-07-09T00:00:00"/>
    <n v="11717"/>
    <s v="Country Burger"/>
    <n v="241736"/>
    <s v="Country Burger (Murphy Rd)"/>
    <s v="NULL"/>
    <s v="Order"/>
    <s v="dbd7e1f4-fab2-3001-972d-886ba7f91ee4"/>
    <n v="17640276949"/>
    <s v="A7F91EE4"/>
    <s v="1fdf2ef0-f443-4673-a916-e4542134101d"/>
    <s v="c6472504-7178-46c1-a5c4-51c597f38f7b"/>
    <s v="Marketplace"/>
    <s v="NULL"/>
    <x v="1"/>
    <s v="USD"/>
    <n v="23.98"/>
    <n v="1.28"/>
    <n v="0"/>
    <n v="-2.4"/>
    <n v="-0.06"/>
    <n v="0"/>
    <n v="0"/>
    <n v="-8"/>
    <n v="0"/>
    <n v="0"/>
    <n v="0"/>
    <n v="0"/>
    <n v="0"/>
    <n v="0"/>
    <n v="14.8"/>
    <n v="0"/>
    <n v="0"/>
    <n v="15.98"/>
    <n v="0"/>
    <n v="0"/>
    <n v="592783586"/>
  </r>
  <r>
    <d v="2026-06-29T21:13:21"/>
    <d v="2026-06-29T00:00:00"/>
    <d v="2026-06-29T16:13:21"/>
    <d v="2026-06-29T00:00:00"/>
    <d v="2026-06-29T16:02:29"/>
    <d v="2026-06-29T16:13:20"/>
    <d v="2026-07-09T10:30:27"/>
    <d v="2026-07-09T00:00:00"/>
    <n v="11717"/>
    <s v="Country Burger"/>
    <n v="241736"/>
    <s v="Country Burger (Murphy Rd)"/>
    <s v="NULL"/>
    <s v="Order"/>
    <s v="db946f15-db51-3001-be8e-364b2b6da592"/>
    <n v="17639614967"/>
    <s v="2B6DA592"/>
    <s v="f2880d14-83c7-445c-91e6-3b11a9d73b9c"/>
    <s v="2ef3e101-05a6-429f-802f-73e4d1c83c56"/>
    <s v="Marketplace"/>
    <s v="NULL"/>
    <x v="1"/>
    <s v="USD"/>
    <n v="25.57"/>
    <n v="2.0499999999999998"/>
    <n v="0"/>
    <n v="-3.84"/>
    <n v="-0.1"/>
    <n v="0"/>
    <n v="0"/>
    <n v="0"/>
    <n v="0"/>
    <n v="0"/>
    <n v="0"/>
    <n v="0"/>
    <n v="0"/>
    <n v="0"/>
    <n v="23.68"/>
    <n v="0"/>
    <n v="0"/>
    <n v="25.57"/>
    <n v="0"/>
    <n v="0"/>
    <n v="592783586"/>
  </r>
  <r>
    <d v="2026-06-29T18:25:14"/>
    <d v="2026-06-29T00:00:00"/>
    <d v="2026-06-29T13:25:14"/>
    <d v="2026-06-29T00:00:00"/>
    <d v="2026-06-29T11:51:32"/>
    <d v="2026-06-29T13:25:13"/>
    <d v="2026-07-09T10:30:27"/>
    <d v="2026-07-09T00:00:00"/>
    <n v="11717"/>
    <s v="Country Burger"/>
    <n v="241736"/>
    <s v="Country Burger (Murphy Rd)"/>
    <s v="NULL"/>
    <s v="Order"/>
    <s v="7e0bcb01-1c55-3001-b1ee-f817ac46b1b8"/>
    <n v="17637956038"/>
    <s v="AC46B1B8"/>
    <s v="a749528c-6b37-4e6a-8823-8cd1d880b120"/>
    <s v="968fe4fe-4aa1-4dd4-84fa-368edacaa32f"/>
    <s v="Marketplace"/>
    <s v="NULL"/>
    <x v="0"/>
    <s v="USD"/>
    <n v="30.17"/>
    <n v="2.41"/>
    <n v="4.88"/>
    <n v="-1.81"/>
    <n v="-0.12"/>
    <n v="0"/>
    <n v="0"/>
    <n v="0"/>
    <n v="0"/>
    <n v="0"/>
    <n v="0"/>
    <n v="0"/>
    <n v="0"/>
    <n v="0"/>
    <n v="35.53"/>
    <n v="0"/>
    <n v="0"/>
    <n v="30.17"/>
    <n v="0"/>
    <n v="0"/>
    <n v="592783586"/>
  </r>
  <r>
    <d v="2026-06-28T22:20:25"/>
    <d v="2026-06-28T00:00:00"/>
    <d v="2026-06-28T17:20:25"/>
    <d v="2026-06-28T00:00:00"/>
    <d v="2026-06-28T17:00:42"/>
    <d v="2026-06-28T17:20:24"/>
    <d v="2026-07-02T10:31:21"/>
    <d v="2026-07-02T00:00:00"/>
    <n v="11717"/>
    <s v="Country Burger"/>
    <n v="241736"/>
    <s v="Country Burger (Murphy Rd)"/>
    <s v="NULL"/>
    <s v="Order"/>
    <s v="5e1c8237-63d1-3001-8f9f-0d49e48bd51b"/>
    <n v="17630059103"/>
    <s v="E48BD51B"/>
    <s v="cba6b4d7-7618-48ac-a428-645739de2907"/>
    <s v="b04ff2f8-087f-4bb6-8615-bd824110f27f"/>
    <s v="Marketplace"/>
    <s v="NULL"/>
    <x v="1"/>
    <s v="USD"/>
    <n v="79.03"/>
    <n v="6.32"/>
    <n v="0"/>
    <n v="-11.85"/>
    <n v="-0.31"/>
    <n v="0"/>
    <n v="0"/>
    <n v="0"/>
    <n v="-3.99"/>
    <n v="0"/>
    <n v="3.99"/>
    <n v="0"/>
    <n v="0"/>
    <n v="0"/>
    <n v="73.19"/>
    <n v="0"/>
    <n v="0"/>
    <n v="79.03"/>
    <n v="0"/>
    <n v="0"/>
    <n v="591107629"/>
  </r>
  <r>
    <d v="2026-06-28T22:12:39"/>
    <d v="2026-06-28T00:00:00"/>
    <d v="2026-06-28T17:12:39"/>
    <d v="2026-06-28T00:00:00"/>
    <d v="2026-06-28T16:56:29"/>
    <d v="2026-06-28T17:12:38"/>
    <d v="2026-07-02T10:31:21"/>
    <d v="2026-07-02T00:00:00"/>
    <n v="11717"/>
    <s v="Country Burger"/>
    <n v="241736"/>
    <s v="Country Burger (Murphy Rd)"/>
    <s v="NULL"/>
    <s v="Order"/>
    <s v="2ea3f0d9-a2a2-3001-b948-c667b418bbd0"/>
    <n v="17629959330"/>
    <s v="B418BBD0"/>
    <s v="cecef01d-3a00-4e7f-870f-5d720c56a524"/>
    <s v="28610d62-ec3e-4309-b9e0-f0b200f98b4d"/>
    <s v="Marketplace"/>
    <s v="NULL"/>
    <x v="1"/>
    <s v="USD"/>
    <n v="42.82"/>
    <n v="3.43"/>
    <n v="0"/>
    <n v="-6.42"/>
    <n v="-0.17"/>
    <n v="0"/>
    <n v="0"/>
    <n v="0"/>
    <n v="0"/>
    <n v="0"/>
    <n v="0"/>
    <n v="0"/>
    <n v="0"/>
    <n v="0"/>
    <n v="39.659999999999997"/>
    <n v="0"/>
    <n v="0"/>
    <n v="42.82"/>
    <n v="0"/>
    <n v="0"/>
    <n v="591107629"/>
  </r>
  <r>
    <d v="2026-06-28T21:59:28"/>
    <d v="2026-06-28T00:00:00"/>
    <d v="2026-06-28T16:59:28"/>
    <d v="2026-06-28T00:00:00"/>
    <d v="2026-06-28T16:47:50"/>
    <d v="2026-06-28T16:59:25"/>
    <d v="2026-07-02T10:31:21"/>
    <d v="2026-07-02T00:00:00"/>
    <n v="11717"/>
    <s v="Country Burger"/>
    <n v="241736"/>
    <s v="Country Burger (Murphy Rd)"/>
    <s v="NULL"/>
    <s v="Order"/>
    <s v="b1bd524d-7a5e-3001-9f1b-a38f5a976746"/>
    <n v="17629783380"/>
    <s v="5A976746"/>
    <s v="4d9a8f48-20f5-40f1-a7f8-a7326cede826"/>
    <s v="d451829b-f372-4eb5-8bbd-ec3534e9028b"/>
    <s v="Marketplace"/>
    <s v="NULL"/>
    <x v="1"/>
    <s v="USD"/>
    <n v="24.25"/>
    <n v="1.94"/>
    <n v="0"/>
    <n v="-3.64"/>
    <n v="-0.1"/>
    <n v="0"/>
    <n v="0"/>
    <n v="0"/>
    <n v="0"/>
    <n v="0"/>
    <n v="0"/>
    <n v="0"/>
    <n v="0"/>
    <n v="0"/>
    <n v="22.45"/>
    <n v="0"/>
    <n v="0"/>
    <n v="24.25"/>
    <n v="0"/>
    <n v="0"/>
    <n v="591107629"/>
  </r>
  <r>
    <d v="2026-06-28T18:56:32"/>
    <d v="2026-06-28T00:00:00"/>
    <d v="2026-06-28T13:56:32"/>
    <d v="2026-06-28T00:00:00"/>
    <d v="2026-06-28T13:41:54"/>
    <d v="2026-06-28T13:56:31"/>
    <d v="2026-07-02T10:31:21"/>
    <d v="2026-07-02T00:00:00"/>
    <n v="11717"/>
    <s v="Country Burger"/>
    <n v="241736"/>
    <s v="Country Burger (Murphy Rd)"/>
    <s v="NULL"/>
    <s v="Order"/>
    <s v="ccf66003-a0d9-3001-9bc6-8587017f3e7d"/>
    <n v="17627726111"/>
    <s v="017F3E7D"/>
    <s v="d0d84cd2-94b0-45f6-8420-f099937d91e3"/>
    <s v="ff523a2a-f6e6-4bfb-ad1c-ee99a4ddea52"/>
    <s v="Marketplace"/>
    <s v="NULL"/>
    <x v="1"/>
    <s v="USD"/>
    <n v="19.079999999999998"/>
    <n v="1.53"/>
    <n v="0"/>
    <n v="-2.86"/>
    <n v="-0.08"/>
    <n v="0"/>
    <n v="0"/>
    <n v="0"/>
    <n v="0"/>
    <n v="0"/>
    <n v="0"/>
    <n v="0"/>
    <n v="0"/>
    <n v="0"/>
    <n v="17.670000000000002"/>
    <n v="0"/>
    <n v="0"/>
    <n v="19.079999999999998"/>
    <n v="0"/>
    <n v="0"/>
    <n v="591107629"/>
  </r>
  <r>
    <d v="2026-06-28T18:28:17"/>
    <d v="2026-06-28T00:00:00"/>
    <d v="2026-06-28T13:28:17"/>
    <d v="2026-06-28T00:00:00"/>
    <d v="2026-06-28T13:18:47"/>
    <d v="2026-06-28T13:28:16"/>
    <d v="2026-07-02T10:31:21"/>
    <d v="2026-07-02T00:00:00"/>
    <n v="11717"/>
    <s v="Country Burger"/>
    <n v="241736"/>
    <s v="Country Burger (Murphy Rd)"/>
    <s v="NULL"/>
    <s v="Order"/>
    <s v="c53d93cf-e18f-3001-8f0a-b294940fd4ee"/>
    <n v="17627427076"/>
    <s v="940FD4EE"/>
    <s v="ae66eb16-ab38-476d-8f25-02d879d867f6"/>
    <s v="d968652a-d9b1-4ebb-8d9e-8c39089ba303"/>
    <s v="Marketplace"/>
    <s v="NULL"/>
    <x v="1"/>
    <s v="USD"/>
    <n v="31.98"/>
    <n v="2.56"/>
    <n v="0"/>
    <n v="-4.8"/>
    <n v="-0.13"/>
    <n v="0"/>
    <n v="0"/>
    <n v="0"/>
    <n v="0"/>
    <n v="0"/>
    <n v="0"/>
    <n v="0"/>
    <n v="0"/>
    <n v="0"/>
    <n v="29.61"/>
    <n v="0"/>
    <n v="0"/>
    <n v="31.98"/>
    <n v="0"/>
    <n v="0"/>
    <n v="591107629"/>
  </r>
  <r>
    <d v="2026-06-28T18:28:13"/>
    <d v="2026-06-28T00:00:00"/>
    <d v="2026-06-28T13:28:13"/>
    <d v="2026-06-28T00:00:00"/>
    <d v="2026-06-28T13:14:24"/>
    <d v="2026-06-28T13:28:12"/>
    <d v="2026-07-02T10:31:21"/>
    <d v="2026-07-02T00:00:00"/>
    <n v="11717"/>
    <s v="Country Burger"/>
    <n v="241736"/>
    <s v="Country Burger (Murphy Rd)"/>
    <s v="NULL"/>
    <s v="Order"/>
    <s v="bf0d2007-3fd5-3001-a28b-b84cd29fb8af"/>
    <n v="17627426422"/>
    <s v="D29FB8AF"/>
    <s v="6a6a47b5-be30-4843-8703-cc1ab4c6a43f"/>
    <s v="4ba8502d-8a2d-49c7-819c-2087d3976df9"/>
    <s v="Marketplace"/>
    <s v="NULL"/>
    <x v="1"/>
    <s v="USD"/>
    <n v="39.56"/>
    <n v="3.16"/>
    <n v="0"/>
    <n v="-5.93"/>
    <n v="-0.16"/>
    <n v="0"/>
    <n v="0"/>
    <n v="0"/>
    <n v="0"/>
    <n v="0"/>
    <n v="0"/>
    <n v="0"/>
    <n v="0"/>
    <n v="0"/>
    <n v="36.630000000000003"/>
    <n v="0"/>
    <n v="0"/>
    <n v="39.56"/>
    <n v="0"/>
    <n v="0"/>
    <n v="591107629"/>
  </r>
  <r>
    <d v="2026-06-28T17:39:53"/>
    <d v="2026-06-28T00:00:00"/>
    <d v="2026-06-28T12:39:53"/>
    <d v="2026-06-28T00:00:00"/>
    <d v="2026-06-28T12:23:57"/>
    <d v="2026-06-28T12:39:52"/>
    <d v="2026-07-02T10:31:21"/>
    <d v="2026-07-02T00:00:00"/>
    <n v="11717"/>
    <s v="Country Burger"/>
    <n v="241736"/>
    <s v="Country Burger (Murphy Rd)"/>
    <s v="NULL"/>
    <s v="Order"/>
    <s v="549823bb-ff36-3001-9ea8-679eb909cbd4"/>
    <n v="17626937015"/>
    <s v="B909CBD4"/>
    <s v="6b9a7e0d-35d3-454a-b6c0-de366b9f7c00"/>
    <s v="5dfb59f3-befd-4107-aff4-4ec49167a1ac"/>
    <s v="Marketplace"/>
    <s v="NULL"/>
    <x v="1"/>
    <s v="USD"/>
    <n v="22.48"/>
    <n v="1.8"/>
    <n v="0"/>
    <n v="-3.37"/>
    <n v="-0.09"/>
    <n v="0"/>
    <n v="0"/>
    <n v="0"/>
    <n v="0"/>
    <n v="0"/>
    <n v="0"/>
    <n v="0"/>
    <n v="0"/>
    <n v="0"/>
    <n v="20.82"/>
    <n v="0"/>
    <n v="0"/>
    <n v="22.48"/>
    <n v="0"/>
    <n v="0"/>
    <n v="591107629"/>
  </r>
  <r>
    <d v="2026-06-28T17:33:12"/>
    <d v="2026-06-28T00:00:00"/>
    <d v="2026-06-28T12:33:12"/>
    <d v="2026-06-28T00:00:00"/>
    <d v="2026-06-28T12:15:08"/>
    <d v="2026-06-28T12:33:10"/>
    <d v="2026-07-02T10:31:21"/>
    <d v="2026-07-02T00:00:00"/>
    <n v="11717"/>
    <s v="Country Burger"/>
    <n v="241736"/>
    <s v="Country Burger (Murphy Rd)"/>
    <s v="NULL"/>
    <s v="Order"/>
    <s v="c42f0758-0c84-3001-9cc8-fbb512e6e0d4"/>
    <n v="17626871438"/>
    <s v="12E6E0D4"/>
    <s v="f0d37dc8-3a3f-4484-bfc2-071e005a0e57"/>
    <s v="7fb9a3ac-28af-49ea-a24a-da446010e827"/>
    <s v="Marketplace"/>
    <s v="NULL"/>
    <x v="1"/>
    <s v="USD"/>
    <n v="23.08"/>
    <n v="1.85"/>
    <n v="0"/>
    <n v="-3.46"/>
    <n v="-0.09"/>
    <n v="0"/>
    <n v="0"/>
    <n v="0"/>
    <n v="0"/>
    <n v="0"/>
    <n v="0"/>
    <n v="0"/>
    <n v="0"/>
    <n v="0"/>
    <n v="21.38"/>
    <n v="0"/>
    <n v="0"/>
    <n v="23.08"/>
    <n v="0"/>
    <n v="0"/>
    <n v="591107629"/>
  </r>
  <r>
    <d v="2026-06-28T01:10:22"/>
    <d v="2026-06-28T00:00:00"/>
    <d v="2026-06-27T20:10:22"/>
    <d v="2026-06-27T00:00:00"/>
    <d v="2026-06-27T19:40:36"/>
    <d v="2026-06-27T20:10:21"/>
    <d v="2026-07-02T10:31:21"/>
    <d v="2026-07-02T00:00:00"/>
    <n v="11717"/>
    <s v="Country Burger"/>
    <n v="241736"/>
    <s v="Country Burger (Murphy Rd)"/>
    <s v="NULL"/>
    <s v="Order"/>
    <s v="953db8d8-3d41-3001-a31e-8ab1a30a7be3"/>
    <n v="17621037548"/>
    <s v="A30A7BE3"/>
    <s v="2ffcc3f5-f227-4763-8fed-2d1c506daa24"/>
    <s v="320981a6-ec6c-47b1-bd0e-c617978bb3f9"/>
    <s v="Marketplace"/>
    <s v="NULL"/>
    <x v="1"/>
    <s v="USD"/>
    <n v="24.58"/>
    <n v="1.33"/>
    <n v="0"/>
    <n v="-2.4900000000000002"/>
    <n v="-7.0000000000000007E-2"/>
    <n v="0"/>
    <n v="0"/>
    <n v="-8"/>
    <n v="0"/>
    <n v="0"/>
    <n v="0"/>
    <n v="0"/>
    <n v="0"/>
    <n v="0"/>
    <n v="15.35"/>
    <n v="0"/>
    <n v="0"/>
    <n v="16.579999999999998"/>
    <n v="0"/>
    <n v="0"/>
    <n v="591107629"/>
  </r>
  <r>
    <d v="2026-06-28T01:09:22"/>
    <d v="2026-06-28T00:00:00"/>
    <d v="2026-06-27T20:09:22"/>
    <d v="2026-06-27T00:00:00"/>
    <d v="2026-06-27T19:46:43"/>
    <d v="2026-06-27T20:09:21"/>
    <d v="2026-07-02T10:31:21"/>
    <d v="2026-07-02T00:00:00"/>
    <n v="11717"/>
    <s v="Country Burger"/>
    <n v="241736"/>
    <s v="Country Burger (Murphy Rd)"/>
    <s v="NULL"/>
    <s v="Order"/>
    <s v="c7bc9c7b-f901-3001-8cf7-e77b3a5f9f43"/>
    <n v="17621022995"/>
    <s v="3A5F9F43"/>
    <s v="10e5fab6-1ea4-481c-bb99-67dbbebd4d7b"/>
    <s v="a6c9c67a-d5c5-4c11-aa6f-3c064be9cfbb"/>
    <s v="Marketplace"/>
    <s v="NULL"/>
    <x v="1"/>
    <s v="USD"/>
    <n v="18.97"/>
    <n v="1.52"/>
    <n v="0"/>
    <n v="-2.85"/>
    <n v="-7.0000000000000007E-2"/>
    <n v="0"/>
    <n v="0"/>
    <n v="0"/>
    <n v="0"/>
    <n v="0"/>
    <n v="0"/>
    <n v="0"/>
    <n v="0"/>
    <n v="0"/>
    <n v="17.57"/>
    <n v="0"/>
    <n v="0"/>
    <n v="18.97"/>
    <n v="0"/>
    <n v="0"/>
    <n v="591107629"/>
  </r>
  <r>
    <d v="2026-06-28T00:27:39"/>
    <d v="2026-06-28T00:00:00"/>
    <d v="2026-06-27T19:27:39"/>
    <d v="2026-06-27T00:00:00"/>
    <d v="2026-06-27T19:17:06"/>
    <d v="2026-06-27T19:27:37"/>
    <d v="2026-07-02T10:31:21"/>
    <d v="2026-07-02T00:00:00"/>
    <n v="11717"/>
    <s v="Country Burger"/>
    <n v="241736"/>
    <s v="Country Burger (Murphy Rd)"/>
    <s v="NULL"/>
    <s v="Order"/>
    <s v="35762599-cd08-3001-bf42-3a894787526a"/>
    <n v="17620382011"/>
    <s v="4787526A"/>
    <s v="290723db-34a5-4e08-a2f7-0b4aeec58ece"/>
    <s v="3a6ff4fd-445d-42eb-bb01-fa8deb9ad55f"/>
    <s v="Marketplace"/>
    <s v="NULL"/>
    <x v="1"/>
    <s v="USD"/>
    <n v="9.25"/>
    <n v="0.74"/>
    <n v="0"/>
    <n v="-1.39"/>
    <n v="-0.04"/>
    <n v="0"/>
    <n v="0"/>
    <n v="0"/>
    <n v="0"/>
    <n v="0"/>
    <n v="0"/>
    <n v="0"/>
    <n v="0"/>
    <n v="0"/>
    <n v="8.56"/>
    <n v="0"/>
    <n v="0"/>
    <n v="9.25"/>
    <n v="0"/>
    <n v="0"/>
    <n v="591107629"/>
  </r>
  <r>
    <d v="2026-06-27T19:22:59"/>
    <d v="2026-06-27T00:00:00"/>
    <d v="2026-06-27T14:22:59"/>
    <d v="2026-06-27T00:00:00"/>
    <d v="2026-06-27T14:09:31"/>
    <d v="2026-06-27T14:22:58"/>
    <d v="2026-07-02T10:31:21"/>
    <d v="2026-07-02T00:00:00"/>
    <n v="11717"/>
    <s v="Country Burger"/>
    <n v="241736"/>
    <s v="Country Burger (Murphy Rd)"/>
    <s v="NULL"/>
    <s v="Order"/>
    <s v="f6010154-d1a2-3001-91fb-cc58dd092969"/>
    <n v="17616387287"/>
    <s v="DD092969"/>
    <s v="97a1c44e-7075-4d34-9151-731147617433"/>
    <s v="600ae4e9-bd7e-4e2e-bbf6-a93efa687a0c"/>
    <s v="Marketplace"/>
    <s v="NULL"/>
    <x v="1"/>
    <s v="USD"/>
    <n v="33.33"/>
    <n v="2.0299999999999998"/>
    <n v="0"/>
    <n v="-3.8"/>
    <n v="-0.1"/>
    <n v="0"/>
    <n v="0"/>
    <n v="-8"/>
    <n v="0"/>
    <n v="0"/>
    <n v="0"/>
    <n v="0"/>
    <n v="0"/>
    <n v="0"/>
    <n v="23.46"/>
    <n v="0"/>
    <n v="0"/>
    <n v="25.33"/>
    <n v="0"/>
    <n v="0"/>
    <n v="591107629"/>
  </r>
  <r>
    <d v="2026-06-27T00:39:43"/>
    <d v="2026-06-27T00:00:00"/>
    <d v="2026-06-26T19:39:43"/>
    <d v="2026-06-26T00:00:00"/>
    <d v="2026-06-26T19:27:48"/>
    <d v="2026-06-26T19:39:42"/>
    <d v="2026-07-02T10:31:21"/>
    <d v="2026-07-02T00:00:00"/>
    <n v="11717"/>
    <s v="Country Burger"/>
    <n v="241736"/>
    <s v="Country Burger (Murphy Rd)"/>
    <s v="NULL"/>
    <s v="Order"/>
    <s v="3d437c88-3b8f-3001-9633-69d13f7f9a76"/>
    <n v="17608608457"/>
    <s v="3F7F9A76"/>
    <s v="4eb597b1-e073-4fc8-8e59-829cba3bf422"/>
    <s v="b7272b75-385d-48ec-9d38-a672594cb05e"/>
    <s v="Marketplace"/>
    <s v="NULL"/>
    <x v="1"/>
    <s v="USD"/>
    <n v="18.68"/>
    <n v="1.49"/>
    <n v="0"/>
    <n v="-2.8"/>
    <n v="-7.0000000000000007E-2"/>
    <n v="0"/>
    <n v="0"/>
    <n v="0"/>
    <n v="0"/>
    <n v="0"/>
    <n v="0"/>
    <n v="0"/>
    <n v="0"/>
    <n v="0"/>
    <n v="17.3"/>
    <n v="0"/>
    <n v="0"/>
    <n v="18.68"/>
    <n v="0"/>
    <n v="0"/>
    <n v="591107629"/>
  </r>
  <r>
    <d v="2026-06-26T23:48:23"/>
    <d v="2026-06-26T00:00:00"/>
    <d v="2026-06-26T18:48:23"/>
    <d v="2026-06-26T00:00:00"/>
    <d v="2026-06-26T18:25:09"/>
    <d v="2026-06-26T18:48:22"/>
    <d v="2026-07-02T10:31:21"/>
    <d v="2026-07-02T00:00:00"/>
    <n v="11717"/>
    <s v="Country Burger"/>
    <n v="241736"/>
    <s v="Country Burger (Murphy Rd)"/>
    <s v="NULL"/>
    <s v="Order"/>
    <s v="768d469b-45d6-3001-9dd9-1825425a3442"/>
    <n v="17607726476"/>
    <s v="425A3442"/>
    <s v="e5836cb8-0175-4a2b-b3b8-89e1d2b9f53b"/>
    <s v="f5151aa8-8c6a-4428-aef3-645ce6a27d3a"/>
    <s v="Marketplace"/>
    <s v="NULL"/>
    <x v="1"/>
    <s v="USD"/>
    <n v="33.82"/>
    <n v="2.71"/>
    <n v="0"/>
    <n v="-5.07"/>
    <n v="-0.13"/>
    <n v="0"/>
    <n v="0"/>
    <n v="0"/>
    <n v="0"/>
    <n v="0"/>
    <n v="0"/>
    <n v="0"/>
    <n v="0"/>
    <n v="0"/>
    <n v="31.33"/>
    <n v="0"/>
    <n v="0"/>
    <n v="33.82"/>
    <n v="0"/>
    <n v="0"/>
    <n v="591107629"/>
  </r>
  <r>
    <d v="2026-06-26T23:45:42"/>
    <d v="2026-06-26T00:00:00"/>
    <d v="2026-06-26T18:45:42"/>
    <d v="2026-06-26T00:00:00"/>
    <d v="2026-06-26T18:34:26"/>
    <d v="2026-06-26T18:45:40"/>
    <d v="2026-07-02T10:31:21"/>
    <d v="2026-07-02T00:00:00"/>
    <n v="11717"/>
    <s v="Country Burger"/>
    <n v="241736"/>
    <s v="Country Burger (Murphy Rd)"/>
    <s v="NULL"/>
    <s v="Order"/>
    <s v="7d9f76b3-28fe-3001-89d2-44f94024c123"/>
    <n v="17607681255"/>
    <s v="4024C123"/>
    <s v="bce83d64-1225-4435-9a06-0dddda928aa0"/>
    <s v="7aff8c27-012e-404e-8f9e-457aea0b850c"/>
    <s v="Marketplace"/>
    <s v="NULL"/>
    <x v="1"/>
    <s v="USD"/>
    <n v="22.58"/>
    <n v="1.81"/>
    <n v="0"/>
    <n v="-3.39"/>
    <n v="-0.09"/>
    <n v="0"/>
    <n v="0"/>
    <n v="0"/>
    <n v="0"/>
    <n v="0"/>
    <n v="0"/>
    <n v="0"/>
    <n v="0"/>
    <n v="0"/>
    <n v="20.91"/>
    <n v="0"/>
    <n v="0"/>
    <n v="22.58"/>
    <n v="0"/>
    <n v="0"/>
    <n v="591107629"/>
  </r>
  <r>
    <d v="2026-06-26T21:54:56"/>
    <d v="2026-06-26T00:00:00"/>
    <d v="2026-06-26T16:54:56"/>
    <d v="2026-06-26T00:00:00"/>
    <d v="2026-06-26T16:40:20"/>
    <d v="2026-06-26T16:54:55"/>
    <d v="2026-07-02T10:31:21"/>
    <d v="2026-07-02T00:00:00"/>
    <n v="11717"/>
    <s v="Country Burger"/>
    <n v="241736"/>
    <s v="Country Burger (Murphy Rd)"/>
    <s v="NULL"/>
    <s v="Order"/>
    <s v="23299697-04b8-3001-9a32-0f8b1cf72601"/>
    <n v="17605961937"/>
    <s v="1CF72601"/>
    <s v="99d4dd3a-2057-4d27-ba51-d671d8b63f90"/>
    <s v="92d69606-d95e-4597-be57-6d803645a24d"/>
    <s v="Marketplace"/>
    <s v="NULL"/>
    <x v="1"/>
    <s v="USD"/>
    <n v="36.479999999999997"/>
    <n v="2.2799999999999998"/>
    <n v="0"/>
    <n v="-4.2699999999999996"/>
    <n v="-0.11"/>
    <n v="0"/>
    <n v="0"/>
    <n v="-8"/>
    <n v="0"/>
    <n v="0"/>
    <n v="0"/>
    <n v="0"/>
    <n v="0"/>
    <n v="0"/>
    <n v="26.38"/>
    <n v="0"/>
    <n v="0"/>
    <n v="28.48"/>
    <n v="0"/>
    <n v="0"/>
    <n v="591107629"/>
  </r>
  <r>
    <d v="2026-06-26T20:15:26"/>
    <d v="2026-06-26T00:00:00"/>
    <d v="2026-06-26T15:15:26"/>
    <d v="2026-06-26T00:00:00"/>
    <d v="2026-06-26T15:04:45"/>
    <d v="2026-06-26T15:15:25"/>
    <d v="2026-07-02T10:31:21"/>
    <d v="2026-07-02T00:00:00"/>
    <n v="11717"/>
    <s v="Country Burger"/>
    <n v="241736"/>
    <s v="Country Burger (Murphy Rd)"/>
    <s v="NULL"/>
    <s v="Order"/>
    <s v="2832ec1b-4a7c-3001-9c0f-626fa5b5f0cb"/>
    <n v="17604800479"/>
    <s v="A5B5F0CB"/>
    <s v="d0b73303-8a53-4961-b77a-d774c79772ae"/>
    <s v="c18e8292-48ae-48db-910c-3efe4f203e04"/>
    <s v="Marketplace"/>
    <s v="NULL"/>
    <x v="1"/>
    <s v="USD"/>
    <n v="13"/>
    <n v="1.04"/>
    <n v="0"/>
    <n v="-1.95"/>
    <n v="-0.05"/>
    <n v="0"/>
    <n v="0"/>
    <n v="0"/>
    <n v="0"/>
    <n v="0"/>
    <n v="0"/>
    <n v="0"/>
    <n v="0"/>
    <n v="0"/>
    <n v="12.04"/>
    <n v="0"/>
    <n v="0"/>
    <n v="13"/>
    <n v="0"/>
    <n v="0"/>
    <n v="591107629"/>
  </r>
  <r>
    <d v="2026-06-26T19:31:40"/>
    <d v="2026-06-26T00:00:00"/>
    <d v="2026-06-26T14:31:40"/>
    <d v="2026-06-26T00:00:00"/>
    <d v="2026-06-26T14:20:01"/>
    <d v="2026-06-26T14:31:39"/>
    <d v="2026-07-02T10:31:21"/>
    <d v="2026-07-02T00:00:00"/>
    <n v="11717"/>
    <s v="Country Burger"/>
    <n v="241736"/>
    <s v="Country Burger (Murphy Rd)"/>
    <s v="NULL"/>
    <s v="Order"/>
    <s v="5ecc9296-4984-3001-a4f1-25221b5a2937"/>
    <n v="17604332027"/>
    <s v="1B5A2937"/>
    <s v="19fdb5a8-e2c7-45d1-8a8a-09bffbeb01be"/>
    <s v="39116a3c-5565-4758-8e44-7879bdd4a591"/>
    <s v="Marketplace"/>
    <s v="NULL"/>
    <x v="1"/>
    <s v="USD"/>
    <n v="28.98"/>
    <n v="2.3199999999999998"/>
    <n v="0"/>
    <n v="-4.3499999999999996"/>
    <n v="-0.11"/>
    <n v="0"/>
    <n v="0"/>
    <n v="0"/>
    <n v="0"/>
    <n v="0"/>
    <n v="0"/>
    <n v="0"/>
    <n v="0"/>
    <n v="0"/>
    <n v="26.84"/>
    <n v="0"/>
    <n v="0"/>
    <n v="28.98"/>
    <n v="0"/>
    <n v="0"/>
    <n v="591107629"/>
  </r>
  <r>
    <d v="2026-06-26T18:36:08"/>
    <d v="2026-06-26T00:00:00"/>
    <d v="2026-06-26T13:36:08"/>
    <d v="2026-06-26T00:00:00"/>
    <d v="2026-06-26T13:26:48"/>
    <d v="2026-06-26T13:36:07"/>
    <d v="2026-07-02T10:31:21"/>
    <d v="2026-07-02T00:00:00"/>
    <n v="11717"/>
    <s v="Country Burger"/>
    <n v="241736"/>
    <s v="Country Burger (Murphy Rd)"/>
    <s v="NULL"/>
    <s v="Order"/>
    <s v="20420eaf-20e5-3001-937a-3b7a90406e3f"/>
    <n v="17603707432"/>
    <s v="90406E3F"/>
    <s v="89d0e4de-4852-45f7-83cf-6c5891c35946"/>
    <s v="1cad9911-c602-42e6-9b51-674f23325a12"/>
    <s v="Marketplace"/>
    <s v="NULL"/>
    <x v="1"/>
    <s v="USD"/>
    <n v="21.97"/>
    <n v="1.76"/>
    <n v="0"/>
    <n v="-3.3"/>
    <n v="-0.09"/>
    <n v="0"/>
    <n v="0"/>
    <n v="0"/>
    <n v="0"/>
    <n v="0"/>
    <n v="0"/>
    <n v="0"/>
    <n v="0"/>
    <n v="0"/>
    <n v="20.34"/>
    <n v="0"/>
    <n v="0"/>
    <n v="21.97"/>
    <n v="0"/>
    <n v="0"/>
    <n v="591107629"/>
  </r>
  <r>
    <d v="2026-06-26T17:17:09"/>
    <d v="2026-06-26T00:00:00"/>
    <d v="2026-06-26T12:17:09"/>
    <d v="2026-06-26T00:00:00"/>
    <d v="2026-06-26T12:02:25"/>
    <d v="2026-06-26T12:17:08"/>
    <d v="2026-07-02T10:31:21"/>
    <d v="2026-07-02T00:00:00"/>
    <n v="11717"/>
    <s v="Country Burger"/>
    <n v="241736"/>
    <s v="Country Burger (Murphy Rd)"/>
    <s v="NULL"/>
    <s v="Order"/>
    <s v="cf97fa0f-ff7c-3001-9200-6013241254ee"/>
    <n v="17602780070"/>
    <s v="241254EE"/>
    <s v="2bbf0ae7-3379-4368-9830-6d381194f736"/>
    <s v="6155d508-342c-4839-8fec-646d72a57b39"/>
    <s v="Marketplace"/>
    <s v="NULL"/>
    <x v="1"/>
    <s v="USD"/>
    <n v="21.59"/>
    <n v="1.0900000000000001"/>
    <n v="0"/>
    <n v="-2.04"/>
    <n v="-0.05"/>
    <n v="0"/>
    <n v="0"/>
    <n v="-8"/>
    <n v="0"/>
    <n v="0"/>
    <n v="0"/>
    <n v="0"/>
    <n v="0"/>
    <n v="0"/>
    <n v="12.59"/>
    <n v="0"/>
    <n v="0"/>
    <n v="13.59"/>
    <n v="0"/>
    <n v="0"/>
    <n v="591107629"/>
  </r>
  <r>
    <d v="2026-06-26T00:59:44"/>
    <d v="2026-06-26T00:00:00"/>
    <d v="2026-06-25T19:59:44"/>
    <d v="2026-06-25T00:00:00"/>
    <d v="2026-06-25T19:28:51"/>
    <d v="2026-06-25T19:59:42"/>
    <d v="2026-07-02T10:31:21"/>
    <d v="2026-07-02T00:00:00"/>
    <n v="11717"/>
    <s v="Country Burger"/>
    <n v="241736"/>
    <s v="Country Burger (Murphy Rd)"/>
    <s v="NULL"/>
    <s v="Order"/>
    <s v="cb5f9bff-8bb0-3001-9db8-110b8bd7ed2e"/>
    <n v="17596928601"/>
    <s v="8BD7ED2E"/>
    <s v="7e7ca27c-a582-4d01-9cf2-abb4d25f4694"/>
    <s v="b4b52e93-0c4b-4047-90f3-e35e275c8fa0"/>
    <s v="Marketplace"/>
    <s v="NULL"/>
    <x v="1"/>
    <s v="USD"/>
    <n v="18.079999999999998"/>
    <n v="1.45"/>
    <n v="0"/>
    <n v="-2.71"/>
    <n v="-7.0000000000000007E-2"/>
    <n v="0"/>
    <n v="0"/>
    <n v="0"/>
    <n v="0"/>
    <n v="0"/>
    <n v="0"/>
    <n v="0"/>
    <n v="0"/>
    <n v="0"/>
    <n v="16.75"/>
    <n v="0"/>
    <n v="0"/>
    <n v="18.079999999999998"/>
    <n v="0"/>
    <n v="0"/>
    <n v="591107629"/>
  </r>
  <r>
    <d v="2026-06-26T00:06:30"/>
    <d v="2026-06-26T00:00:00"/>
    <d v="2026-06-25T19:06:30"/>
    <d v="2026-06-25T00:00:00"/>
    <d v="2026-06-25T18:52:30"/>
    <d v="2026-06-25T19:06:29"/>
    <d v="2026-07-02T10:31:21"/>
    <d v="2026-07-02T00:00:00"/>
    <n v="11717"/>
    <s v="Country Burger"/>
    <n v="241736"/>
    <s v="Country Burger (Murphy Rd)"/>
    <s v="NULL"/>
    <s v="Order"/>
    <s v="76b4b83a-87c5-3001-afcc-b49e384113a1"/>
    <n v="17596101529"/>
    <s v="384113A1"/>
    <s v="4ae6aa3d-5b97-4659-84bd-cf37174d8abe"/>
    <s v="ea6cb3be-31b9-4af7-a4b8-9ea7bb1bbf14"/>
    <s v="Marketplace"/>
    <s v="NULL"/>
    <x v="1"/>
    <s v="USD"/>
    <n v="21.24"/>
    <n v="1.7"/>
    <n v="0"/>
    <n v="-3.19"/>
    <n v="-0.08"/>
    <n v="0"/>
    <n v="0"/>
    <n v="0"/>
    <n v="0"/>
    <n v="0"/>
    <n v="0"/>
    <n v="0"/>
    <n v="0"/>
    <n v="0"/>
    <n v="19.670000000000002"/>
    <n v="0"/>
    <n v="0"/>
    <n v="21.24"/>
    <n v="0"/>
    <n v="0"/>
    <n v="591107629"/>
  </r>
  <r>
    <d v="2026-06-25T23:03:49"/>
    <d v="2026-06-25T00:00:00"/>
    <d v="2026-06-25T18:03:49"/>
    <d v="2026-06-25T00:00:00"/>
    <d v="2026-06-25T17:53:40"/>
    <d v="2026-06-25T18:03:48"/>
    <d v="2026-07-02T10:31:21"/>
    <d v="2026-07-02T00:00:00"/>
    <n v="11717"/>
    <s v="Country Burger"/>
    <n v="241736"/>
    <s v="Country Burger (Murphy Rd)"/>
    <s v="NULL"/>
    <s v="Order"/>
    <s v="8c1bf211-3849-3001-ae6e-b0b0dd5878bf"/>
    <n v="17595134161"/>
    <s v="DD5878BF"/>
    <s v="1c8bd833-f9f5-401f-899e-a1910e76ca66"/>
    <s v="e88cfc84-e8a5-4c62-98c6-155abbcfcfd4"/>
    <s v="Marketplace"/>
    <s v="NULL"/>
    <x v="1"/>
    <s v="USD"/>
    <n v="27.98"/>
    <n v="2.2400000000000002"/>
    <n v="0"/>
    <n v="-4.2"/>
    <n v="-0.11"/>
    <n v="0"/>
    <n v="0"/>
    <n v="0"/>
    <n v="0"/>
    <n v="0"/>
    <n v="0"/>
    <n v="0"/>
    <n v="0"/>
    <n v="0"/>
    <n v="25.91"/>
    <n v="0"/>
    <n v="0"/>
    <n v="27.98"/>
    <n v="0"/>
    <n v="0"/>
    <n v="591107629"/>
  </r>
  <r>
    <d v="2026-06-25T22:51:26"/>
    <d v="2026-06-25T00:00:00"/>
    <d v="2026-06-25T17:51:26"/>
    <d v="2026-06-25T00:00:00"/>
    <d v="2026-06-25T16:15:40"/>
    <d v="2026-06-25T17:51:25"/>
    <d v="2026-07-02T10:31:21"/>
    <d v="2026-07-02T00:00:00"/>
    <n v="11717"/>
    <s v="Country Burger"/>
    <n v="241736"/>
    <s v="Country Burger (Murphy Rd)"/>
    <s v="NULL"/>
    <s v="Order"/>
    <s v="4fc19e3e-4924-3001-9495-d47079510f1b"/>
    <n v="17594950751"/>
    <s v="79510F1B"/>
    <s v="22f289da-1141-4a5e-a7a0-f1130622e812"/>
    <s v="31808308-1491-4ec2-8263-9e850e2346fc"/>
    <s v="Marketplace"/>
    <s v="NULL"/>
    <x v="0"/>
    <s v="USD"/>
    <n v="12.68"/>
    <n v="1.01"/>
    <n v="0"/>
    <n v="-0.76"/>
    <n v="-0.05"/>
    <n v="0"/>
    <n v="0"/>
    <n v="0"/>
    <n v="0"/>
    <n v="0"/>
    <n v="0"/>
    <n v="0"/>
    <n v="0"/>
    <n v="0"/>
    <n v="12.88"/>
    <n v="0"/>
    <n v="0"/>
    <n v="12.68"/>
    <n v="0"/>
    <n v="0"/>
    <n v="591107629"/>
  </r>
  <r>
    <d v="2026-06-25T21:16:50"/>
    <d v="2026-06-25T00:00:00"/>
    <d v="2026-06-25T16:16:50"/>
    <d v="2026-06-25T00:00:00"/>
    <d v="2026-06-25T16:07:26"/>
    <d v="2026-06-25T16:16:48"/>
    <d v="2026-07-02T10:31:21"/>
    <d v="2026-07-02T00:00:00"/>
    <n v="11717"/>
    <s v="Country Burger"/>
    <n v="241736"/>
    <s v="Country Burger (Murphy Rd)"/>
    <s v="NULL"/>
    <s v="Order"/>
    <s v="fad46899-e29b-3001-b19d-287fe1981492"/>
    <n v="17593753476"/>
    <s v="E1981492"/>
    <s v="c9355f07-8c61-4b6c-9312-43df86eb77ca"/>
    <s v="ef93dee3-a97a-4b92-8f2b-82ac2d580fbc"/>
    <s v="Marketplace"/>
    <s v="NULL"/>
    <x v="1"/>
    <s v="USD"/>
    <n v="18.079999999999998"/>
    <n v="0.81"/>
    <n v="0"/>
    <n v="-1.51"/>
    <n v="-0.04"/>
    <n v="0"/>
    <n v="0"/>
    <n v="-8"/>
    <n v="0"/>
    <n v="0"/>
    <n v="0"/>
    <n v="0"/>
    <n v="0"/>
    <n v="0"/>
    <n v="9.34"/>
    <n v="0"/>
    <n v="0"/>
    <n v="10.08"/>
    <n v="0"/>
    <n v="0"/>
    <n v="591107629"/>
  </r>
  <r>
    <d v="2026-06-25T19:11:01"/>
    <d v="2026-06-25T00:00:00"/>
    <d v="2026-06-25T14:11:01"/>
    <d v="2026-06-25T00:00:00"/>
    <d v="2026-06-25T14:00:03"/>
    <d v="2026-06-25T14:11:00"/>
    <d v="2026-07-02T10:31:21"/>
    <d v="2026-07-02T00:00:00"/>
    <n v="11717"/>
    <s v="Country Burger"/>
    <n v="241736"/>
    <s v="Country Burger (Murphy Rd)"/>
    <s v="NULL"/>
    <s v="Order"/>
    <s v="0c97714a-05e0-3001-8842-61e16cf5bb82"/>
    <n v="17592404422"/>
    <s v="6CF5BB82"/>
    <s v="57a2067b-b600-4269-9086-d47a36c467d2"/>
    <s v="297633c5-6c20-44d7-b2e4-41aa85e61de3"/>
    <s v="Marketplace"/>
    <s v="NULL"/>
    <x v="1"/>
    <s v="USD"/>
    <n v="49.76"/>
    <n v="3.34"/>
    <n v="0"/>
    <n v="-6.26"/>
    <n v="-0.17"/>
    <n v="0"/>
    <n v="0"/>
    <n v="-8"/>
    <n v="0"/>
    <n v="0"/>
    <n v="0"/>
    <n v="0"/>
    <n v="0"/>
    <n v="0"/>
    <n v="38.67"/>
    <n v="0"/>
    <n v="0"/>
    <n v="41.76"/>
    <n v="0"/>
    <n v="0"/>
    <n v="591107629"/>
  </r>
  <r>
    <d v="2026-06-24T23:26:40"/>
    <d v="2026-06-24T00:00:00"/>
    <d v="2026-06-24T18:26:40"/>
    <d v="2026-06-24T00:00:00"/>
    <d v="2026-06-24T18:13:29"/>
    <d v="2026-06-24T18:26:39"/>
    <d v="2026-07-02T10:31:21"/>
    <d v="2026-07-02T00:00:00"/>
    <n v="11717"/>
    <s v="Country Burger"/>
    <n v="241736"/>
    <s v="Country Burger (Murphy Rd)"/>
    <s v="NULL"/>
    <s v="Order"/>
    <s v="3dfd3f9e-f2b9-3001-bcb0-a7685272233b"/>
    <n v="17584207159"/>
    <s v="5272233B"/>
    <s v="25f496ac-2722-415c-a959-8edf0ba3c5ac"/>
    <s v="83a0a654-1d16-42fc-91d3-863288ac3492"/>
    <s v="Marketplace"/>
    <s v="NULL"/>
    <x v="1"/>
    <s v="USD"/>
    <n v="45.72"/>
    <n v="3.66"/>
    <n v="0"/>
    <n v="-6.86"/>
    <n v="-0.18"/>
    <n v="0"/>
    <n v="0"/>
    <n v="0"/>
    <n v="0"/>
    <n v="0"/>
    <n v="0"/>
    <n v="0"/>
    <n v="0"/>
    <n v="0"/>
    <n v="42.34"/>
    <n v="0"/>
    <n v="0"/>
    <n v="45.72"/>
    <n v="0"/>
    <n v="0"/>
    <n v="591107629"/>
  </r>
  <r>
    <d v="2026-06-24T23:21:40"/>
    <d v="2026-06-24T00:00:00"/>
    <d v="2026-06-24T18:21:40"/>
    <d v="2026-06-24T00:00:00"/>
    <d v="2026-06-24T18:00:04"/>
    <d v="2026-06-24T18:21:39"/>
    <d v="2026-07-02T10:31:21"/>
    <d v="2026-07-02T00:00:00"/>
    <n v="11717"/>
    <s v="Country Burger"/>
    <n v="241736"/>
    <s v="Country Burger (Murphy Rd)"/>
    <s v="NULL"/>
    <s v="Order"/>
    <s v="8d862df3-de7c-3001-bedb-1c6f277bcb98"/>
    <n v="17584136498"/>
    <s v="277BCB98"/>
    <s v="ca01c93c-a7df-4aa2-8380-0130e370e8a3"/>
    <s v="91b1f14e-5bd1-4104-b507-2def7d5f5be0"/>
    <s v="Marketplace"/>
    <s v="NULL"/>
    <x v="1"/>
    <s v="USD"/>
    <n v="106.42"/>
    <n v="7.87"/>
    <n v="0"/>
    <n v="-14.76"/>
    <n v="-0.39"/>
    <n v="0"/>
    <n v="0"/>
    <n v="-8"/>
    <n v="0"/>
    <n v="0"/>
    <n v="0"/>
    <n v="0"/>
    <n v="0"/>
    <n v="0"/>
    <n v="91.14"/>
    <n v="0"/>
    <n v="0"/>
    <n v="98.42"/>
    <n v="0"/>
    <n v="0"/>
    <n v="591107629"/>
  </r>
  <r>
    <d v="2026-06-24T21:40:41"/>
    <d v="2026-06-24T00:00:00"/>
    <d v="2026-06-24T16:40:41"/>
    <d v="2026-06-24T00:00:00"/>
    <d v="2026-06-24T16:31:49"/>
    <d v="2026-06-24T16:40:40"/>
    <d v="2026-07-02T10:31:21"/>
    <d v="2026-07-02T00:00:00"/>
    <n v="11717"/>
    <s v="Country Burger"/>
    <n v="241736"/>
    <s v="Country Burger (Murphy Rd)"/>
    <s v="NULL"/>
    <s v="Order"/>
    <s v="f1755033-3914-3001-a8cc-57a5d7f3e84d"/>
    <n v="17582811660"/>
    <s v="D7F3E84D"/>
    <s v="955e3b58-3041-478c-b3b0-c0b19da3fb2a"/>
    <s v="29d1d975-6228-4fef-b56b-4a6a76336e94"/>
    <s v="Marketplace"/>
    <s v="NULL"/>
    <x v="1"/>
    <s v="USD"/>
    <n v="27.74"/>
    <n v="2.2200000000000002"/>
    <n v="0"/>
    <n v="-4.16"/>
    <n v="-0.11"/>
    <n v="0"/>
    <n v="0"/>
    <n v="0"/>
    <n v="0"/>
    <n v="0"/>
    <n v="0"/>
    <n v="0"/>
    <n v="0"/>
    <n v="0"/>
    <n v="25.69"/>
    <n v="0"/>
    <n v="0"/>
    <n v="27.74"/>
    <n v="0"/>
    <n v="0"/>
    <n v="591107629"/>
  </r>
  <r>
    <d v="2026-06-24T17:00:58"/>
    <d v="2026-06-24T00:00:00"/>
    <d v="2026-06-24T12:00:58"/>
    <d v="2026-06-24T00:00:00"/>
    <d v="2026-06-24T11:50:06"/>
    <d v="2026-06-24T12:00:57"/>
    <d v="2026-07-02T10:31:21"/>
    <d v="2026-07-02T00:00:00"/>
    <n v="11717"/>
    <s v="Country Burger"/>
    <n v="241736"/>
    <s v="Country Burger (Murphy Rd)"/>
    <s v="NULL"/>
    <s v="Order"/>
    <s v="578a51d3-a1ac-3001-894d-da516ee23007"/>
    <n v="17579883853"/>
    <s v="6EE23007"/>
    <s v="71704b1b-d6d7-4af2-8461-50eeb4ddeaa8"/>
    <s v="c1b74b75-7f12-4b91-8025-19c122be84a2"/>
    <s v="Marketplace"/>
    <s v="NULL"/>
    <x v="1"/>
    <s v="USD"/>
    <n v="34.18"/>
    <n v="2.73"/>
    <n v="0"/>
    <n v="-5.13"/>
    <n v="-0.14000000000000001"/>
    <n v="0"/>
    <n v="0"/>
    <n v="0"/>
    <n v="0"/>
    <n v="0"/>
    <n v="0"/>
    <n v="0"/>
    <n v="0"/>
    <n v="0"/>
    <n v="31.64"/>
    <n v="0"/>
    <n v="0"/>
    <n v="34.18"/>
    <n v="0"/>
    <n v="0"/>
    <n v="591107629"/>
  </r>
  <r>
    <d v="2026-06-23T23:53:03"/>
    <d v="2026-06-23T00:00:00"/>
    <d v="2026-06-23T18:53:03"/>
    <d v="2026-06-23T00:00:00"/>
    <d v="2026-06-23T18:42:16"/>
    <d v="2026-06-23T18:53:02"/>
    <d v="2026-07-02T10:31:21"/>
    <d v="2026-07-02T00:00:00"/>
    <n v="11717"/>
    <s v="Country Burger"/>
    <n v="241736"/>
    <s v="Country Burger (Murphy Rd)"/>
    <s v="NULL"/>
    <s v="Order"/>
    <s v="84ecb89b-f550-3001-bc50-8d79f58d06a2"/>
    <n v="17573849238"/>
    <s v="F58D06A2"/>
    <s v="27db3521-4359-4427-a862-5968d2d1a1ea"/>
    <s v="68247482-5d3a-4d95-9ca8-b057c9e827a8"/>
    <s v="Marketplace"/>
    <s v="NULL"/>
    <x v="1"/>
    <s v="USD"/>
    <n v="29.17"/>
    <n v="2.33"/>
    <n v="0"/>
    <n v="-4.38"/>
    <n v="-0.12"/>
    <n v="0"/>
    <n v="0"/>
    <n v="0"/>
    <n v="0"/>
    <n v="0"/>
    <n v="0"/>
    <n v="0"/>
    <n v="0"/>
    <n v="0"/>
    <n v="27"/>
    <n v="0"/>
    <n v="0"/>
    <n v="29.17"/>
    <n v="0"/>
    <n v="0"/>
    <n v="591107629"/>
  </r>
  <r>
    <d v="2026-06-23T22:13:49"/>
    <d v="2026-06-23T00:00:00"/>
    <d v="2026-06-23T17:13:49"/>
    <d v="2026-06-23T00:00:00"/>
    <d v="2026-06-23T17:04:53"/>
    <d v="2026-06-23T17:13:48"/>
    <d v="2026-07-02T10:31:21"/>
    <d v="2026-07-02T00:00:00"/>
    <n v="11717"/>
    <s v="Country Burger"/>
    <n v="241736"/>
    <s v="Country Burger (Murphy Rd)"/>
    <s v="NULL"/>
    <s v="Order"/>
    <s v="6714771b-1da8-3001-82b7-5af08a260bd9"/>
    <n v="17572498402"/>
    <s v="8A260BD9"/>
    <s v="44ddd869-8ae6-42a3-9c00-5cfe15c0b4b7"/>
    <s v="8a121afb-bebc-4d3f-a2b0-658d1570d506"/>
    <s v="Marketplace"/>
    <s v="NULL"/>
    <x v="1"/>
    <s v="USD"/>
    <n v="17.989999999999998"/>
    <n v="1.44"/>
    <n v="0"/>
    <n v="-2.7"/>
    <n v="-7.0000000000000007E-2"/>
    <n v="0"/>
    <n v="0"/>
    <n v="0"/>
    <n v="0"/>
    <n v="0"/>
    <n v="0"/>
    <n v="0"/>
    <n v="0"/>
    <n v="0"/>
    <n v="16.66"/>
    <n v="0"/>
    <n v="0"/>
    <n v="17.989999999999998"/>
    <n v="0"/>
    <n v="0"/>
    <n v="591107629"/>
  </r>
  <r>
    <d v="2026-06-22T22:52:55"/>
    <d v="2026-06-22T00:00:00"/>
    <d v="2026-06-22T17:52:55"/>
    <d v="2026-06-22T00:00:00"/>
    <d v="2026-06-22T17:35:06"/>
    <d v="2026-06-22T17:52:54"/>
    <d v="2026-07-02T10:31:21"/>
    <d v="2026-07-02T00:00:00"/>
    <n v="11717"/>
    <s v="Country Burger"/>
    <n v="241736"/>
    <s v="Country Burger (Murphy Rd)"/>
    <s v="NULL"/>
    <s v="Order"/>
    <s v="597c5b60-f9f2-3001-b791-6a68ff67f2b3"/>
    <n v="17562547181"/>
    <s v="FF67F2B3"/>
    <s v="985dc612-a8b3-44eb-a7fb-42c40f377f4c"/>
    <s v="27f27452-73fb-4a75-a02f-68c6c936f986"/>
    <s v="Marketplace"/>
    <s v="NULL"/>
    <x v="1"/>
    <s v="USD"/>
    <n v="29.67"/>
    <n v="2.37"/>
    <n v="0"/>
    <n v="-4.45"/>
    <n v="-0.12"/>
    <n v="0"/>
    <n v="0"/>
    <n v="0"/>
    <n v="0"/>
    <n v="0"/>
    <n v="0"/>
    <n v="0"/>
    <n v="0"/>
    <n v="0"/>
    <n v="27.47"/>
    <n v="0"/>
    <n v="0"/>
    <n v="29.67"/>
    <n v="0"/>
    <n v="0"/>
    <n v="591107629"/>
  </r>
  <r>
    <d v="2026-06-22T21:05:23"/>
    <d v="2026-06-22T00:00:00"/>
    <d v="2026-06-22T16:05:23"/>
    <d v="2026-06-22T00:00:00"/>
    <d v="2026-06-22T15:44:33"/>
    <d v="2026-06-22T16:05:22"/>
    <d v="2026-07-02T10:31:21"/>
    <d v="2026-07-02T00:00:00"/>
    <n v="11717"/>
    <s v="Country Burger"/>
    <n v="241736"/>
    <s v="Country Burger (Murphy Rd)"/>
    <s v="NULL"/>
    <s v="Order"/>
    <s v="6bb2f1f4-c3ef-3001-be1b-95f78c507a0a"/>
    <n v="17561323340"/>
    <s v="8C507A0A"/>
    <s v="66c750bc-f92a-46b0-a07e-d1256b7b7870"/>
    <s v="bb402e95-a056-40b1-9914-ac432bf5bc17"/>
    <s v="Marketplace"/>
    <s v="NULL"/>
    <x v="1"/>
    <s v="USD"/>
    <n v="33.08"/>
    <n v="2.65"/>
    <n v="0"/>
    <n v="-4.96"/>
    <n v="-0.13"/>
    <n v="0"/>
    <n v="0"/>
    <n v="0"/>
    <n v="0"/>
    <n v="0"/>
    <n v="0"/>
    <n v="0"/>
    <n v="0"/>
    <n v="0"/>
    <n v="30.64"/>
    <n v="0"/>
    <n v="0"/>
    <n v="33.08"/>
    <n v="0"/>
    <n v="0"/>
    <n v="591107629"/>
  </r>
  <r>
    <d v="2026-06-22T19:41:28"/>
    <d v="2026-06-22T00:00:00"/>
    <d v="2026-06-22T14:41:28"/>
    <d v="2026-06-22T00:00:00"/>
    <d v="2026-06-22T12:33:17"/>
    <d v="2026-06-22T14:41:27"/>
    <d v="2026-07-02T10:31:21"/>
    <d v="2026-07-02T00:00:00"/>
    <n v="11717"/>
    <s v="Country Burger"/>
    <n v="241736"/>
    <s v="Country Burger (Murphy Rd)"/>
    <s v="NULL"/>
    <s v="Order"/>
    <s v="fd77ebb9-3af8-3001-8282-c1aad14d67b9"/>
    <n v="17560513871"/>
    <s v="D14D67B9"/>
    <s v="3c68cade-e2d7-40a8-a498-81ac3f04be8b"/>
    <s v="eeb9ec96-dfe1-41ee-ae07-d2877d4b326c"/>
    <s v="Marketplace"/>
    <s v="NULL"/>
    <x v="0"/>
    <s v="USD"/>
    <n v="233.01"/>
    <n v="18.64"/>
    <n v="0"/>
    <n v="-13.98"/>
    <n v="-0.92"/>
    <n v="0"/>
    <n v="0"/>
    <n v="0"/>
    <n v="0"/>
    <n v="0"/>
    <n v="0"/>
    <n v="0"/>
    <n v="0"/>
    <n v="0"/>
    <n v="236.75"/>
    <n v="0"/>
    <n v="0"/>
    <n v="233.01"/>
    <n v="0"/>
    <n v="0"/>
    <n v="591107629"/>
  </r>
  <r>
    <d v="2026-06-22T19:09:19"/>
    <d v="2026-06-22T00:00:00"/>
    <d v="2026-06-22T14:09:19"/>
    <d v="2026-06-22T00:00:00"/>
    <d v="2026-06-22T12:36:26"/>
    <d v="2026-06-22T14:09:18"/>
    <d v="2026-07-02T10:31:21"/>
    <d v="2026-07-02T00:00:00"/>
    <n v="11717"/>
    <s v="Country Burger"/>
    <n v="241736"/>
    <s v="Country Burger (Murphy Rd)"/>
    <s v="NULL"/>
    <s v="Order"/>
    <s v="248a5d9b-03da-3001-85a7-f97eeabf67e5"/>
    <n v="17560201493"/>
    <s v="EABF67E5"/>
    <s v="12f27337-ed4b-42d2-8b3c-9c0429a2038c"/>
    <s v="8d11670e-d242-4791-a449-598dc3039979"/>
    <s v="Marketplace"/>
    <s v="NULL"/>
    <x v="0"/>
    <s v="USD"/>
    <n v="8.75"/>
    <n v="0.7"/>
    <n v="0"/>
    <n v="-0.53"/>
    <n v="-0.03"/>
    <n v="0"/>
    <n v="0"/>
    <n v="0"/>
    <n v="0"/>
    <n v="0"/>
    <n v="0"/>
    <n v="0"/>
    <n v="0"/>
    <n v="0"/>
    <n v="8.89"/>
    <n v="0"/>
    <n v="0"/>
    <n v="8.75"/>
    <n v="0"/>
    <n v="0"/>
    <n v="591107629"/>
  </r>
  <r>
    <d v="2026-06-22T16:25:02"/>
    <d v="2026-06-22T00:00:00"/>
    <d v="2026-06-22T11:25:02"/>
    <d v="2026-06-22T00:00:00"/>
    <d v="2026-06-22T11:10:16"/>
    <d v="2026-06-22T11:25:01"/>
    <d v="2026-07-02T10:31:21"/>
    <d v="2026-07-02T00:00:00"/>
    <n v="11717"/>
    <s v="Country Burger"/>
    <n v="241736"/>
    <s v="Country Burger (Murphy Rd)"/>
    <s v="NULL"/>
    <s v="Order"/>
    <s v="c20f6340-5333-3001-8449-36f7189a9bb9"/>
    <n v="17558536586"/>
    <s v="189A9BB9"/>
    <s v="db13e4c1-3bf0-4c5a-922c-365a1328cdb0"/>
    <s v="0ad2eb11-daa3-47f6-a6fd-4a8b2cb5c4c0"/>
    <s v="Marketplace"/>
    <s v="NULL"/>
    <x v="1"/>
    <s v="USD"/>
    <n v="11.74"/>
    <n v="0.94"/>
    <n v="0"/>
    <n v="-1.76"/>
    <n v="-0.05"/>
    <n v="0"/>
    <n v="0"/>
    <n v="0"/>
    <n v="0"/>
    <n v="0"/>
    <n v="0"/>
    <n v="0"/>
    <n v="0"/>
    <n v="0"/>
    <n v="10.87"/>
    <n v="0"/>
    <n v="0"/>
    <n v="11.74"/>
    <n v="0"/>
    <n v="0"/>
    <n v="591107629"/>
  </r>
  <r>
    <d v="2026-06-21T23:22:26"/>
    <d v="2026-06-21T00:00:00"/>
    <d v="2026-06-21T18:22:26"/>
    <d v="2026-06-21T00:00:00"/>
    <d v="2026-06-21T18:04:53"/>
    <d v="2026-06-21T18:22:25"/>
    <d v="2026-06-25T11:18:35"/>
    <d v="2026-06-25T00:00:00"/>
    <n v="11717"/>
    <s v="Country Burger"/>
    <n v="241736"/>
    <s v="Country Burger (Murphy Rd)"/>
    <s v="NULL"/>
    <s v="Order"/>
    <s v="d3157d6b-2f31-3001-a31b-3048dabfbc32"/>
    <n v="17552612234"/>
    <s v="DABFBC32"/>
    <s v="585d8ae7-309a-464e-a6a4-0dc6f0a9efc5"/>
    <s v="e426deeb-0d20-4e9b-bafb-19a5d88d1e24"/>
    <s v="Marketplace"/>
    <s v="NULL"/>
    <x v="1"/>
    <s v="USD"/>
    <n v="22.24"/>
    <n v="1.78"/>
    <n v="0"/>
    <n v="-3.34"/>
    <n v="-0.09"/>
    <n v="0"/>
    <n v="0"/>
    <n v="0"/>
    <n v="0"/>
    <n v="0"/>
    <n v="0"/>
    <n v="0"/>
    <n v="0"/>
    <n v="0"/>
    <n v="20.59"/>
    <n v="0"/>
    <n v="0"/>
    <n v="22.24"/>
    <n v="0"/>
    <n v="0"/>
    <n v="589239030"/>
  </r>
  <r>
    <d v="2026-06-21T18:06:17"/>
    <d v="2026-06-21T00:00:00"/>
    <d v="2026-06-21T13:06:17"/>
    <d v="2026-06-21T00:00:00"/>
    <d v="2026-06-21T12:51:13"/>
    <d v="2026-06-21T13:06:16"/>
    <d v="2026-06-25T11:18:35"/>
    <d v="2026-06-25T00:00:00"/>
    <n v="11717"/>
    <s v="Country Burger"/>
    <n v="241736"/>
    <s v="Country Burger (Murphy Rd)"/>
    <s v="NULL"/>
    <s v="Order"/>
    <s v="ea4bb7a2-9907-3001-90fa-9ad9b50befb6"/>
    <n v="17549121740"/>
    <s v="B50BEFB6"/>
    <s v="6eaa28fd-e537-4f35-a439-5e8724a6c179"/>
    <s v="aea81b92-9118-4bdf-afcb-57fb40504f61"/>
    <s v="Marketplace"/>
    <s v="NULL"/>
    <x v="1"/>
    <s v="USD"/>
    <n v="43.93"/>
    <n v="3.51"/>
    <n v="0"/>
    <n v="-6.59"/>
    <n v="-0.17"/>
    <n v="0"/>
    <n v="0"/>
    <n v="0"/>
    <n v="0"/>
    <n v="0"/>
    <n v="0"/>
    <n v="0"/>
    <n v="0"/>
    <n v="0"/>
    <n v="40.68"/>
    <n v="0"/>
    <n v="0"/>
    <n v="43.93"/>
    <n v="0"/>
    <n v="0"/>
    <n v="589239030"/>
  </r>
  <r>
    <d v="2026-06-21T17:06:39"/>
    <d v="2026-06-21T00:00:00"/>
    <d v="2026-06-21T12:06:39"/>
    <d v="2026-06-21T00:00:00"/>
    <d v="2026-06-21T11:53:26"/>
    <d v="2026-06-21T12:06:38"/>
    <d v="2026-06-25T11:18:35"/>
    <d v="2026-06-25T00:00:00"/>
    <n v="11717"/>
    <s v="Country Burger"/>
    <n v="241736"/>
    <s v="Country Burger (Murphy Rd)"/>
    <s v="NULL"/>
    <s v="Order"/>
    <s v="d952fa51-2312-3001-ac38-32d6fdcef07f"/>
    <n v="17548551577"/>
    <s v="FDCEF07F"/>
    <s v="f7fdd286-4042-4455-8d0c-279546cae2d9"/>
    <s v="ac8be3c4-7e5a-4308-8e52-2e357a2c84b4"/>
    <s v="Marketplace"/>
    <s v="NULL"/>
    <x v="1"/>
    <s v="USD"/>
    <n v="49.47"/>
    <n v="3.96"/>
    <n v="0"/>
    <n v="-7.42"/>
    <n v="-0.2"/>
    <n v="0"/>
    <n v="0"/>
    <n v="0"/>
    <n v="0"/>
    <n v="0"/>
    <n v="0"/>
    <n v="0"/>
    <n v="0"/>
    <n v="0"/>
    <n v="45.81"/>
    <n v="0"/>
    <n v="0"/>
    <n v="49.47"/>
    <n v="0"/>
    <n v="0"/>
    <n v="589239030"/>
  </r>
  <r>
    <d v="2026-06-21T16:54:21"/>
    <d v="2026-06-21T00:00:00"/>
    <d v="2026-06-21T11:54:21"/>
    <d v="2026-06-21T00:00:00"/>
    <d v="2026-06-21T11:41:04"/>
    <d v="2026-06-21T11:54:20"/>
    <d v="2026-06-25T11:18:35"/>
    <d v="2026-06-25T00:00:00"/>
    <n v="11717"/>
    <s v="Country Burger"/>
    <n v="241736"/>
    <s v="Country Burger (Murphy Rd)"/>
    <s v="NULL"/>
    <s v="Order"/>
    <s v="f2f4b83e-f3bd-3001-a295-7d61ead6bf79"/>
    <n v="17548437069"/>
    <s v="EAD6BF79"/>
    <s v="e3516f01-37df-44df-bd82-bcc7247d5327"/>
    <s v="b77266ee-347f-4880-97c2-debe60eafd91"/>
    <s v="Marketplace"/>
    <s v="NULL"/>
    <x v="1"/>
    <s v="USD"/>
    <n v="23.38"/>
    <n v="1.23"/>
    <n v="0"/>
    <n v="-2.31"/>
    <n v="-0.06"/>
    <n v="0"/>
    <n v="0"/>
    <n v="-8"/>
    <n v="0"/>
    <n v="0"/>
    <n v="0"/>
    <n v="0"/>
    <n v="0"/>
    <n v="0"/>
    <n v="14.24"/>
    <n v="0"/>
    <n v="0"/>
    <n v="15.38"/>
    <n v="0"/>
    <n v="0"/>
    <n v="589239030"/>
  </r>
  <r>
    <d v="2026-06-21T16:39:10"/>
    <d v="2026-06-21T00:00:00"/>
    <d v="2026-06-21T11:39:10"/>
    <d v="2026-06-21T00:00:00"/>
    <d v="2026-06-21T11:29:14"/>
    <d v="2026-06-21T11:39:09"/>
    <d v="2026-06-25T11:18:35"/>
    <d v="2026-06-25T00:00:00"/>
    <n v="11717"/>
    <s v="Country Burger"/>
    <n v="241736"/>
    <s v="Country Burger (Murphy Rd)"/>
    <s v="NULL"/>
    <s v="Order"/>
    <s v="756626f8-69b7-3001-9db1-5f9674a0a644"/>
    <n v="17548303038"/>
    <s v="74A0A644"/>
    <s v="244056b3-a277-45d4-b523-31ca0939cb26"/>
    <s v="16b7a0d4-d313-4fe5-881a-3c6d5380d887"/>
    <s v="Marketplace"/>
    <s v="NULL"/>
    <x v="1"/>
    <s v="USD"/>
    <n v="17.98"/>
    <n v="1.44"/>
    <n v="0"/>
    <n v="-2.7"/>
    <n v="-7.0000000000000007E-2"/>
    <n v="0"/>
    <n v="0"/>
    <n v="0"/>
    <n v="0"/>
    <n v="0"/>
    <n v="0"/>
    <n v="0"/>
    <n v="0"/>
    <n v="0"/>
    <n v="16.649999999999999"/>
    <n v="0"/>
    <n v="0"/>
    <n v="17.98"/>
    <n v="0"/>
    <n v="0"/>
    <n v="589239030"/>
  </r>
  <r>
    <d v="2026-06-21T16:17:27"/>
    <d v="2026-06-21T00:00:00"/>
    <d v="2026-06-21T11:17:27"/>
    <d v="2026-06-21T00:00:00"/>
    <d v="2026-06-21T11:07:56"/>
    <d v="2026-06-21T11:17:26"/>
    <d v="2026-06-25T11:18:35"/>
    <d v="2026-06-25T00:00:00"/>
    <n v="11717"/>
    <s v="Country Burger"/>
    <n v="241736"/>
    <s v="Country Burger (Murphy Rd)"/>
    <s v="NULL"/>
    <s v="Order"/>
    <s v="71e3dc42-283f-3001-a2eb-626ad1c3bf6f"/>
    <n v="17548116615"/>
    <s v="D1C3BF6F"/>
    <s v="dc13d4a0-3d7d-4762-8d0c-6ac5f2a987f9"/>
    <s v="5e7b7e32-ff45-45cc-9469-369ae9c0c1c3"/>
    <s v="Marketplace"/>
    <s v="NULL"/>
    <x v="1"/>
    <s v="USD"/>
    <n v="22.8"/>
    <n v="1.82"/>
    <n v="0"/>
    <n v="-3.42"/>
    <n v="-0.09"/>
    <n v="0"/>
    <n v="0"/>
    <n v="0"/>
    <n v="0"/>
    <n v="0"/>
    <n v="0"/>
    <n v="0"/>
    <n v="0"/>
    <n v="0"/>
    <n v="21.11"/>
    <n v="0"/>
    <n v="0"/>
    <n v="22.8"/>
    <n v="0"/>
    <n v="0"/>
    <n v="589239030"/>
  </r>
  <r>
    <d v="2026-06-21T00:33:05"/>
    <d v="2026-06-21T00:00:00"/>
    <d v="2026-06-20T19:33:05"/>
    <d v="2026-06-20T00:00:00"/>
    <d v="2026-06-20T19:12:25"/>
    <d v="2026-06-20T19:33:04"/>
    <d v="2026-06-25T11:18:35"/>
    <d v="2026-06-25T00:00:00"/>
    <n v="11717"/>
    <s v="Country Burger"/>
    <n v="241736"/>
    <s v="Country Burger (Murphy Rd)"/>
    <s v="NULL"/>
    <s v="Order"/>
    <s v="894604ed-026a-3001-892c-c3b0ddcc2f8d"/>
    <n v="17542492647"/>
    <s v="DDCC2F8D"/>
    <s v="adaf83f5-a2be-47ce-b1ec-a336ab1d9373"/>
    <s v="12e7a5aa-a6be-47fa-850f-d334818f846b"/>
    <s v="Marketplace"/>
    <s v="NULL"/>
    <x v="1"/>
    <s v="USD"/>
    <n v="33.08"/>
    <n v="2.0099999999999998"/>
    <n v="0"/>
    <n v="-3.76"/>
    <n v="-0.1"/>
    <n v="0"/>
    <n v="0"/>
    <n v="-8"/>
    <n v="0"/>
    <n v="0"/>
    <n v="0"/>
    <n v="0"/>
    <n v="0"/>
    <n v="0"/>
    <n v="23.23"/>
    <n v="0"/>
    <n v="0"/>
    <n v="25.08"/>
    <n v="0"/>
    <n v="0"/>
    <n v="589239030"/>
  </r>
  <r>
    <d v="2026-06-21T00:29:43"/>
    <d v="2026-06-21T00:00:00"/>
    <d v="2026-06-20T19:29:43"/>
    <d v="2026-06-20T00:00:00"/>
    <d v="2026-06-20T17:54:51"/>
    <d v="2026-06-20T19:29:42"/>
    <d v="2026-06-25T11:18:35"/>
    <d v="2026-06-25T00:00:00"/>
    <n v="11717"/>
    <s v="Country Burger"/>
    <n v="241736"/>
    <s v="Country Burger (Murphy Rd)"/>
    <s v="NULL"/>
    <s v="Order"/>
    <s v="f6686140-a0df-3001-8ab3-0ee74eb72da9"/>
    <n v="17542434825"/>
    <s v="4EB72DA9"/>
    <s v="500041a8-c1c9-4c10-ba76-6214c52d6b6a"/>
    <s v="185df187-2984-4242-910e-86fb98260851"/>
    <s v="Marketplace"/>
    <s v="NULL"/>
    <x v="0"/>
    <s v="USD"/>
    <n v="12.99"/>
    <n v="1.04"/>
    <n v="1.4"/>
    <n v="-0.78"/>
    <n v="-0.05"/>
    <n v="0"/>
    <n v="0"/>
    <n v="0"/>
    <n v="0"/>
    <n v="0"/>
    <n v="0"/>
    <n v="0"/>
    <n v="0"/>
    <n v="0"/>
    <n v="14.6"/>
    <n v="0"/>
    <n v="0"/>
    <n v="12.99"/>
    <n v="0"/>
    <n v="0"/>
    <n v="589239030"/>
  </r>
  <r>
    <d v="2026-06-21T00:27:59"/>
    <d v="2026-06-21T00:00:00"/>
    <d v="2026-06-20T19:27:59"/>
    <d v="2026-06-20T00:00:00"/>
    <d v="2026-06-20T17:49:58"/>
    <d v="2026-06-20T19:27:58"/>
    <d v="2026-06-25T11:18:35"/>
    <d v="2026-06-25T00:00:00"/>
    <n v="11717"/>
    <s v="Country Burger"/>
    <n v="241736"/>
    <s v="Country Burger (Murphy Rd)"/>
    <s v="NULL"/>
    <s v="Order"/>
    <s v="59d07f9d-56ef-3001-8b93-713c2d2ea799"/>
    <n v="17542409754"/>
    <s v="2D2EA799"/>
    <s v="0a13c1dc-0bc6-4ca5-b0da-57a4724f2967"/>
    <s v="1b1c5593-1e66-4ede-91e9-390ddbb8e149"/>
    <s v="Marketplace"/>
    <s v="NULL"/>
    <x v="0"/>
    <s v="USD"/>
    <n v="47.45"/>
    <n v="3.16"/>
    <n v="4"/>
    <n v="-2.37"/>
    <n v="-0.16"/>
    <n v="0"/>
    <n v="0"/>
    <n v="-8"/>
    <n v="0"/>
    <n v="0"/>
    <n v="0"/>
    <n v="0"/>
    <n v="0"/>
    <n v="0"/>
    <n v="44.08"/>
    <n v="0"/>
    <n v="0"/>
    <n v="39.450000000000003"/>
    <n v="0"/>
    <n v="0"/>
    <n v="589239030"/>
  </r>
  <r>
    <d v="2026-06-21T00:19:12"/>
    <d v="2026-06-21T00:00:00"/>
    <d v="2026-06-20T19:19:12"/>
    <d v="2026-06-20T00:00:00"/>
    <d v="2026-06-20T18:58:34"/>
    <d v="2026-06-20T19:19:11"/>
    <d v="2026-06-25T11:18:35"/>
    <d v="2026-06-25T00:00:00"/>
    <n v="11717"/>
    <s v="Country Burger"/>
    <n v="241736"/>
    <s v="Country Burger (Murphy Rd)"/>
    <s v="NULL"/>
    <s v="Order"/>
    <s v="bedbfc87-28f5-3001-b1a0-ea3918203c6c"/>
    <n v="17542282132"/>
    <s v="18203C6C"/>
    <s v="e8c95fb0-baa8-4b12-90b3-bd1a83cac193"/>
    <s v="d0d02c4a-3b71-4640-8cbe-2234a27dd9b4"/>
    <s v="Marketplace"/>
    <s v="NULL"/>
    <x v="1"/>
    <s v="USD"/>
    <n v="17.329999999999998"/>
    <n v="1.39"/>
    <n v="0"/>
    <n v="-2.6"/>
    <n v="-7.0000000000000007E-2"/>
    <n v="0"/>
    <n v="0"/>
    <n v="0"/>
    <n v="0"/>
    <n v="0"/>
    <n v="0"/>
    <n v="0"/>
    <n v="0"/>
    <n v="0"/>
    <n v="16.05"/>
    <n v="0"/>
    <n v="0"/>
    <n v="17.329999999999998"/>
    <n v="0"/>
    <n v="0"/>
    <n v="589239030"/>
  </r>
  <r>
    <d v="2026-06-21T00:02:24"/>
    <d v="2026-06-21T00:00:00"/>
    <d v="2026-06-20T19:02:24"/>
    <d v="2026-06-20T00:00:00"/>
    <d v="2026-06-20T18:08:00"/>
    <d v="2026-06-20T18:30:52"/>
    <d v="2026-06-25T11:18:35"/>
    <d v="2026-06-25T00:00:00"/>
    <n v="11717"/>
    <s v="Country Burger"/>
    <n v="241736"/>
    <s v="Country Burger (Murphy Rd)"/>
    <s v="NULL"/>
    <s v="Error Charge"/>
    <s v="a034b2f4-c2b4-3001-a3e9-a9f1aabcfb9f"/>
    <n v="17542033934"/>
    <s v="AABCFB9F"/>
    <s v="6412bc99-19a2-46d5-9ebb-dd868d20846a"/>
    <s v="d2428d47-598b-4db2-89dd-a25597288198"/>
    <s v="Marketplace"/>
    <s v="1 Cheddar Fries missing"/>
    <x v="1"/>
    <s v="USD"/>
    <n v="0"/>
    <n v="0"/>
    <n v="0"/>
    <n v="0"/>
    <n v="0"/>
    <n v="0"/>
    <n v="0"/>
    <n v="0"/>
    <n v="0"/>
    <n v="0"/>
    <n v="0"/>
    <n v="0"/>
    <n v="-9.6199999999999992"/>
    <n v="0"/>
    <n v="-9.6199999999999992"/>
    <n v="0"/>
    <n v="0"/>
    <n v="0"/>
    <n v="0"/>
    <n v="0"/>
    <n v="589239030"/>
  </r>
  <r>
    <d v="2026-06-20T23:30:53"/>
    <d v="2026-06-20T00:00:00"/>
    <d v="2026-06-20T18:30:53"/>
    <d v="2026-06-20T00:00:00"/>
    <d v="2026-06-20T18:08:00"/>
    <d v="2026-06-20T18:30:52"/>
    <d v="2026-06-25T11:18:35"/>
    <d v="2026-06-25T00:00:00"/>
    <n v="11717"/>
    <s v="Country Burger"/>
    <n v="241736"/>
    <s v="Country Burger (Murphy Rd)"/>
    <s v="NULL"/>
    <s v="Order"/>
    <s v="a034b2f4-c2b4-3001-a3e9-a9f1aabcfb9f"/>
    <n v="17541567031"/>
    <s v="AABCFB9F"/>
    <s v="6412bc99-19a2-46d5-9ebb-dd868d20846a"/>
    <s v="d2428d47-598b-4db2-89dd-a25597288198"/>
    <s v="Marketplace"/>
    <s v="NULL"/>
    <x v="1"/>
    <s v="USD"/>
    <n v="66.56"/>
    <n v="4.68"/>
    <n v="0"/>
    <n v="-8.7799999999999994"/>
    <n v="-0.23"/>
    <n v="0"/>
    <n v="0"/>
    <n v="-8"/>
    <n v="0"/>
    <n v="0"/>
    <n v="0"/>
    <n v="0"/>
    <n v="0"/>
    <n v="0"/>
    <n v="54.23"/>
    <n v="0"/>
    <n v="0"/>
    <n v="58.56"/>
    <n v="0"/>
    <n v="0"/>
    <n v="589239030"/>
  </r>
  <r>
    <d v="2026-06-20T22:57:49"/>
    <d v="2026-06-20T00:00:00"/>
    <d v="2026-06-20T17:57:49"/>
    <d v="2026-06-20T00:00:00"/>
    <d v="2026-06-20T17:39:45"/>
    <d v="2026-06-20T17:57:48"/>
    <d v="2026-06-25T11:18:35"/>
    <d v="2026-06-25T00:00:00"/>
    <n v="11717"/>
    <s v="Country Burger"/>
    <n v="241736"/>
    <s v="Country Burger (Murphy Rd)"/>
    <s v="NULL"/>
    <s v="Order"/>
    <s v="ff599edf-9886-3001-bdd5-c0c1e7c2cec7"/>
    <n v="17541091665"/>
    <s v="E7C2CEC7"/>
    <s v="8d89aab4-1606-44fc-ab39-b5759ba82a74"/>
    <s v="0363667e-8528-42aa-96b4-486e8031499e"/>
    <s v="Marketplace"/>
    <s v="NULL"/>
    <x v="1"/>
    <s v="USD"/>
    <n v="56.7"/>
    <n v="4.54"/>
    <n v="0"/>
    <n v="-8.51"/>
    <n v="-0.22"/>
    <n v="0"/>
    <n v="0"/>
    <n v="0"/>
    <n v="0"/>
    <n v="0"/>
    <n v="0"/>
    <n v="0"/>
    <n v="0"/>
    <n v="0"/>
    <n v="52.51"/>
    <n v="0"/>
    <n v="0"/>
    <n v="56.7"/>
    <n v="0"/>
    <n v="0"/>
    <n v="589239030"/>
  </r>
  <r>
    <d v="2026-06-20T22:27:11"/>
    <d v="2026-06-20T00:00:00"/>
    <d v="2026-06-20T17:27:11"/>
    <d v="2026-06-20T00:00:00"/>
    <d v="2026-06-20T17:14:41"/>
    <d v="2026-06-20T17:27:10"/>
    <d v="2026-06-25T11:18:35"/>
    <d v="2026-06-25T00:00:00"/>
    <n v="11717"/>
    <s v="Country Burger"/>
    <n v="241736"/>
    <s v="Country Burger (Murphy Rd)"/>
    <s v="NULL"/>
    <s v="Order"/>
    <s v="c41a6f6c-20ae-3001-bd44-2d6f39cf2bb0"/>
    <n v="17540673019"/>
    <s v="39CF2BB0"/>
    <s v="fa7f47cf-38ef-4fb2-a00b-a87c997cd94d"/>
    <s v="e1180bca-4f95-4adb-a7b0-20d6afea0ab9"/>
    <s v="Marketplace"/>
    <s v="NULL"/>
    <x v="1"/>
    <s v="USD"/>
    <n v="23.47"/>
    <n v="1.1299999999999999"/>
    <n v="0"/>
    <n v="-3.52"/>
    <n v="-0.09"/>
    <n v="0"/>
    <n v="0"/>
    <n v="0"/>
    <n v="-9.39"/>
    <n v="0"/>
    <n v="9.39"/>
    <n v="0"/>
    <n v="0"/>
    <n v="0"/>
    <n v="20.99"/>
    <n v="0"/>
    <n v="0"/>
    <n v="14.08"/>
    <n v="0"/>
    <n v="0"/>
    <n v="589239030"/>
  </r>
  <r>
    <d v="2026-06-20T21:20:04"/>
    <d v="2026-06-20T00:00:00"/>
    <d v="2026-06-20T16:20:04"/>
    <d v="2026-06-20T00:00:00"/>
    <d v="2026-06-20T16:05:59"/>
    <d v="2026-06-20T16:20:03"/>
    <d v="2026-06-25T11:18:35"/>
    <d v="2026-06-25T00:00:00"/>
    <n v="11717"/>
    <s v="Country Burger"/>
    <n v="241736"/>
    <s v="Country Burger (Murphy Rd)"/>
    <s v="NULL"/>
    <s v="Order"/>
    <s v="44f75efd-4d50-3001-8b54-9582747e9255"/>
    <n v="17539835857"/>
    <s v="747E9255"/>
    <s v="b52cc2b7-f947-4465-aa4c-a47e8e0113eb"/>
    <s v="6dee3f1a-f85e-43da-9ba4-ea0b29c968f6"/>
    <s v="Marketplace"/>
    <s v="NULL"/>
    <x v="1"/>
    <s v="USD"/>
    <n v="36.56"/>
    <n v="2.92"/>
    <n v="0"/>
    <n v="-5.48"/>
    <n v="-0.14000000000000001"/>
    <n v="0"/>
    <n v="0"/>
    <n v="0"/>
    <n v="0"/>
    <n v="0"/>
    <n v="0"/>
    <n v="0"/>
    <n v="0"/>
    <n v="0"/>
    <n v="33.86"/>
    <n v="0"/>
    <n v="0"/>
    <n v="36.56"/>
    <n v="0"/>
    <n v="0"/>
    <n v="589239030"/>
  </r>
  <r>
    <d v="2026-06-20T21:17:29"/>
    <d v="2026-06-20T00:00:00"/>
    <d v="2026-06-20T16:17:29"/>
    <d v="2026-06-20T00:00:00"/>
    <d v="2026-06-20T16:06:13"/>
    <d v="2026-06-20T16:17:28"/>
    <d v="2026-06-25T11:18:35"/>
    <d v="2026-06-25T00:00:00"/>
    <n v="11717"/>
    <s v="Country Burger"/>
    <n v="241736"/>
    <s v="Country Burger (Murphy Rd)"/>
    <s v="NULL"/>
    <s v="Order"/>
    <s v="aadec561-8cfd-3001-b022-753db5540d24"/>
    <n v="17539807063"/>
    <s v="B5540D24"/>
    <s v="d571714e-ca3b-4947-b877-58349ab9a3ca"/>
    <s v="29bfc268-e4ed-46ea-9652-a1cc1463e92c"/>
    <s v="Marketplace"/>
    <s v="NULL"/>
    <x v="1"/>
    <s v="USD"/>
    <n v="30.68"/>
    <n v="2.4500000000000002"/>
    <n v="0"/>
    <n v="-4.5999999999999996"/>
    <n v="-0.12"/>
    <n v="0"/>
    <n v="0"/>
    <n v="0"/>
    <n v="0"/>
    <n v="0"/>
    <n v="0"/>
    <n v="0"/>
    <n v="0"/>
    <n v="0"/>
    <n v="28.41"/>
    <n v="0"/>
    <n v="0"/>
    <n v="30.68"/>
    <n v="0"/>
    <n v="0"/>
    <n v="589239030"/>
  </r>
  <r>
    <d v="2026-06-20T20:22:56"/>
    <d v="2026-06-20T00:00:00"/>
    <d v="2026-06-20T15:22:56"/>
    <d v="2026-06-20T00:00:00"/>
    <d v="2026-06-20T15:08:07"/>
    <d v="2026-06-20T15:22:55"/>
    <d v="2026-06-25T11:18:35"/>
    <d v="2026-06-25T00:00:00"/>
    <n v="11717"/>
    <s v="Country Burger"/>
    <n v="241736"/>
    <s v="Country Burger (Murphy Rd)"/>
    <s v="NULL"/>
    <s v="Order"/>
    <s v="af92a739-3f0f-3001-b5b9-5ec683cfe1a4"/>
    <n v="17539203018"/>
    <s v="83CFE1A4"/>
    <s v="03a27547-009b-4521-bbe9-40ad5e0ffff8"/>
    <s v="46484d79-e8c3-40fc-bb64-6ceff1f52361"/>
    <s v="Marketplace"/>
    <s v="NULL"/>
    <x v="1"/>
    <s v="USD"/>
    <n v="8.75"/>
    <n v="0.7"/>
    <n v="0"/>
    <n v="-1.31"/>
    <n v="-0.03"/>
    <n v="0"/>
    <n v="0"/>
    <n v="0"/>
    <n v="0"/>
    <n v="0"/>
    <n v="0"/>
    <n v="0"/>
    <n v="0"/>
    <n v="0"/>
    <n v="8.11"/>
    <n v="0"/>
    <n v="0"/>
    <n v="8.75"/>
    <n v="0"/>
    <n v="0"/>
    <n v="589239030"/>
  </r>
  <r>
    <d v="2026-06-20T20:15:36"/>
    <d v="2026-06-20T00:00:00"/>
    <d v="2026-06-20T15:15:36"/>
    <d v="2026-06-20T00:00:00"/>
    <d v="2026-06-20T15:04:12"/>
    <d v="2026-06-20T15:15:35"/>
    <d v="2026-06-25T11:18:35"/>
    <d v="2026-06-25T00:00:00"/>
    <n v="11717"/>
    <s v="Country Burger"/>
    <n v="241736"/>
    <s v="Country Burger (Murphy Rd)"/>
    <s v="NULL"/>
    <s v="Order"/>
    <s v="91a76130-3bbc-3001-9446-85d04c66d5d7"/>
    <n v="17539128515"/>
    <s v="4C66D5D7"/>
    <s v="37bb7b8e-1d6d-4e77-b263-8788e8c92216"/>
    <s v="c43785be-3866-4bb9-b066-92e50317f12b"/>
    <s v="Marketplace"/>
    <s v="NULL"/>
    <x v="1"/>
    <s v="USD"/>
    <n v="38.47"/>
    <n v="2.44"/>
    <n v="0"/>
    <n v="-4.57"/>
    <n v="-0.12"/>
    <n v="0"/>
    <n v="0"/>
    <n v="-8"/>
    <n v="0"/>
    <n v="0"/>
    <n v="0"/>
    <n v="0"/>
    <n v="0"/>
    <n v="0"/>
    <n v="28.22"/>
    <n v="0"/>
    <n v="0"/>
    <n v="30.47"/>
    <n v="0"/>
    <n v="0"/>
    <n v="589239030"/>
  </r>
  <r>
    <d v="2026-06-20T19:46:56"/>
    <d v="2026-06-20T00:00:00"/>
    <d v="2026-06-20T14:46:56"/>
    <d v="2026-06-20T00:00:00"/>
    <d v="2026-06-20T14:30:22"/>
    <d v="2026-06-20T14:46:55"/>
    <d v="2026-06-25T11:18:35"/>
    <d v="2026-06-25T00:00:00"/>
    <n v="11717"/>
    <s v="Country Burger"/>
    <n v="241736"/>
    <s v="Country Burger (Murphy Rd)"/>
    <s v="NULL"/>
    <s v="Order"/>
    <s v="8080eae2-0f84-3001-a066-ee423ddd970b"/>
    <n v="17538828567"/>
    <s v="3DDD970B"/>
    <s v="65db1388-5dfc-4517-8de9-071933dc1f06"/>
    <s v="4501c640-d270-46d5-9453-4fe1b4026af0"/>
    <s v="Marketplace"/>
    <s v="NULL"/>
    <x v="1"/>
    <s v="USD"/>
    <n v="12.99"/>
    <n v="0.4"/>
    <n v="0"/>
    <n v="-0.75"/>
    <n v="-0.02"/>
    <n v="0"/>
    <n v="0"/>
    <n v="-8"/>
    <n v="0"/>
    <n v="0"/>
    <n v="0"/>
    <n v="0"/>
    <n v="0"/>
    <n v="0"/>
    <n v="4.62"/>
    <n v="0"/>
    <n v="0"/>
    <n v="4.99"/>
    <n v="0"/>
    <n v="0"/>
    <n v="589239030"/>
  </r>
  <r>
    <d v="2026-06-20T19:40:08"/>
    <d v="2026-06-20T00:00:00"/>
    <d v="2026-06-20T14:40:08"/>
    <d v="2026-06-20T00:00:00"/>
    <d v="2026-06-20T14:25:01"/>
    <d v="2026-06-20T14:40:07"/>
    <d v="2026-06-25T11:18:35"/>
    <d v="2026-06-25T00:00:00"/>
    <n v="11717"/>
    <s v="Country Burger"/>
    <n v="241736"/>
    <s v="Country Burger (Murphy Rd)"/>
    <s v="NULL"/>
    <s v="Order"/>
    <s v="28ce6d9c-ed0e-3001-9ab6-37350c4e9639"/>
    <n v="17538755300"/>
    <s v="0C4E9639"/>
    <s v="ab715076-dba2-46e2-91ac-996cf2880235"/>
    <s v="c4f0f425-d43a-4a13-997f-04c3f3069a4b"/>
    <s v="Marketplace"/>
    <s v="NULL"/>
    <x v="1"/>
    <s v="USD"/>
    <n v="23.98"/>
    <n v="1.92"/>
    <n v="0"/>
    <n v="-3.6"/>
    <n v="-0.09"/>
    <n v="0"/>
    <n v="0"/>
    <n v="0"/>
    <n v="0"/>
    <n v="0"/>
    <n v="0"/>
    <n v="0"/>
    <n v="0"/>
    <n v="0"/>
    <n v="22.21"/>
    <n v="0"/>
    <n v="0"/>
    <n v="23.98"/>
    <n v="0"/>
    <n v="0"/>
    <n v="589239030"/>
  </r>
  <r>
    <d v="2026-06-20T18:16:07"/>
    <d v="2026-06-20T00:00:00"/>
    <d v="2026-06-20T13:16:07"/>
    <d v="2026-06-20T00:00:00"/>
    <d v="2026-06-20T12:55:07"/>
    <d v="2026-06-20T13:16:06"/>
    <d v="2026-06-25T11:18:35"/>
    <d v="2026-06-25T00:00:00"/>
    <n v="11717"/>
    <s v="Country Burger"/>
    <n v="241736"/>
    <s v="Country Burger (Murphy Rd)"/>
    <s v="NULL"/>
    <s v="Order"/>
    <s v="fc7648be-f4a4-3001-b47b-a5353f7667b0"/>
    <n v="17537881324"/>
    <s v="3F7667B0"/>
    <s v="0025dff0-be32-4ced-9748-24ddf254086c"/>
    <s v="ff2f51b5-5bdf-438f-8d83-7d48e52fa6e2"/>
    <s v="Marketplace"/>
    <s v="NULL"/>
    <x v="1"/>
    <s v="USD"/>
    <n v="63.41"/>
    <n v="5.07"/>
    <n v="0"/>
    <n v="-9.51"/>
    <n v="-0.25"/>
    <n v="0"/>
    <n v="0"/>
    <n v="0"/>
    <n v="0"/>
    <n v="0"/>
    <n v="0"/>
    <n v="0"/>
    <n v="0"/>
    <n v="0"/>
    <n v="58.72"/>
    <n v="0"/>
    <n v="0"/>
    <n v="63.41"/>
    <n v="0"/>
    <n v="0"/>
    <n v="589239030"/>
  </r>
  <r>
    <d v="2026-06-20T01:18:57"/>
    <d v="2026-06-20T00:00:00"/>
    <d v="2026-06-19T20:18:57"/>
    <d v="2026-06-19T00:00:00"/>
    <d v="2026-06-19T19:58:47"/>
    <d v="2026-06-19T20:18:56"/>
    <d v="2026-06-25T11:18:35"/>
    <d v="2026-06-25T00:00:00"/>
    <n v="11717"/>
    <s v="Country Burger"/>
    <n v="241736"/>
    <s v="Country Burger (Murphy Rd)"/>
    <s v="NULL"/>
    <s v="Order"/>
    <s v="b1ba8e50-bb6c-3001-a83d-87264fa42387"/>
    <n v="17531672260"/>
    <s v="4FA42387"/>
    <s v="8b979f51-4c5e-4e10-ad48-80c96a477bf2"/>
    <s v="265d5b02-845c-498f-8a27-abe1b43966e2"/>
    <s v="Marketplace"/>
    <s v="NULL"/>
    <x v="1"/>
    <s v="USD"/>
    <n v="21.56"/>
    <n v="1.72"/>
    <n v="0"/>
    <n v="-3.23"/>
    <n v="-0.09"/>
    <n v="0"/>
    <n v="0"/>
    <n v="0"/>
    <n v="0"/>
    <n v="0"/>
    <n v="0"/>
    <n v="0"/>
    <n v="0"/>
    <n v="0"/>
    <n v="19.96"/>
    <n v="0"/>
    <n v="0"/>
    <n v="21.56"/>
    <n v="0"/>
    <n v="0"/>
    <n v="589239030"/>
  </r>
  <r>
    <d v="2026-06-19T23:40:14"/>
    <d v="2026-06-19T00:00:00"/>
    <d v="2026-06-19T18:40:14"/>
    <d v="2026-06-19T00:00:00"/>
    <d v="2026-06-19T18:26:16"/>
    <d v="2026-06-19T18:40:13"/>
    <d v="2026-06-25T11:18:35"/>
    <d v="2026-06-25T00:00:00"/>
    <n v="11717"/>
    <s v="Country Burger"/>
    <n v="241736"/>
    <s v="Country Burger (Murphy Rd)"/>
    <s v="NULL"/>
    <s v="Order"/>
    <s v="13c6640a-f722-3001-97b5-b16038bec96b"/>
    <n v="17530067588"/>
    <s v="38BEC96B"/>
    <s v="107cdec9-935e-4aa7-87ee-f2e4cbf54535"/>
    <s v="fbfa12bc-f77a-4d16-9187-ca2a7cb47845"/>
    <s v="Marketplace"/>
    <s v="NULL"/>
    <x v="1"/>
    <s v="USD"/>
    <n v="44.81"/>
    <n v="3.58"/>
    <n v="0"/>
    <n v="-6.72"/>
    <n v="-0.18"/>
    <n v="0"/>
    <n v="0"/>
    <n v="0"/>
    <n v="0"/>
    <n v="0"/>
    <n v="0"/>
    <n v="0"/>
    <n v="0"/>
    <n v="0"/>
    <n v="41.49"/>
    <n v="0"/>
    <n v="0"/>
    <n v="44.81"/>
    <n v="0"/>
    <n v="0"/>
    <n v="589239030"/>
  </r>
  <r>
    <d v="2026-06-19T23:11:24"/>
    <d v="2026-06-19T00:00:00"/>
    <d v="2026-06-19T18:11:24"/>
    <d v="2026-06-19T00:00:00"/>
    <d v="2026-06-19T17:27:00"/>
    <d v="2026-06-19T17:41:00"/>
    <d v="2026-06-25T11:18:35"/>
    <d v="2026-06-25T00:00:00"/>
    <n v="11717"/>
    <s v="Country Burger"/>
    <n v="241736"/>
    <s v="Country Burger (Murphy Rd)"/>
    <s v="NULL"/>
    <s v="Error Charge"/>
    <s v="4dd9664a-7153-3001-9bc7-636b6c8ae749"/>
    <n v="17529613072"/>
    <s v="6C8AE749"/>
    <s v="135cca9b-baf3-4ca4-a149-f63a955d88fc"/>
    <s v="68b94f79-0e5c-4357-83cc-74ffe7015b4c"/>
    <s v="Marketplace"/>
    <s v="1 Corn Dog &amp; Small Fry and drink missing"/>
    <x v="1"/>
    <s v="USD"/>
    <n v="0"/>
    <n v="0"/>
    <n v="0"/>
    <n v="0"/>
    <n v="0"/>
    <n v="0"/>
    <n v="0"/>
    <n v="0"/>
    <n v="0"/>
    <n v="0"/>
    <n v="0"/>
    <n v="0"/>
    <n v="-1.62"/>
    <n v="0"/>
    <n v="-1.62"/>
    <n v="0"/>
    <n v="0"/>
    <n v="0"/>
    <n v="0"/>
    <n v="0"/>
    <n v="589239030"/>
  </r>
  <r>
    <d v="2026-06-19T22:41:02"/>
    <d v="2026-06-19T00:00:00"/>
    <d v="2026-06-19T17:41:02"/>
    <d v="2026-06-19T00:00:00"/>
    <d v="2026-06-19T17:27:00"/>
    <d v="2026-06-19T17:41:00"/>
    <d v="2026-06-25T11:18:35"/>
    <d v="2026-06-25T00:00:00"/>
    <n v="11717"/>
    <s v="Country Burger"/>
    <n v="241736"/>
    <s v="Country Burger (Murphy Rd)"/>
    <s v="NULL"/>
    <s v="Order"/>
    <s v="4dd9664a-7153-3001-9bc7-636b6c8ae749"/>
    <n v="17529153445"/>
    <s v="6C8AE749"/>
    <s v="135cca9b-baf3-4ca4-a149-f63a955d88fc"/>
    <s v="68b94f79-0e5c-4357-83cc-74ffe7015b4c"/>
    <s v="Marketplace"/>
    <s v="NULL"/>
    <x v="1"/>
    <s v="USD"/>
    <n v="51.76"/>
    <n v="4.1399999999999997"/>
    <n v="0"/>
    <n v="-7.76"/>
    <n v="-0.2"/>
    <n v="0"/>
    <n v="0"/>
    <n v="0"/>
    <n v="0"/>
    <n v="0"/>
    <n v="0"/>
    <n v="0"/>
    <n v="0"/>
    <n v="0"/>
    <n v="47.94"/>
    <n v="0"/>
    <n v="0"/>
    <n v="51.76"/>
    <n v="0"/>
    <n v="0"/>
    <n v="589239030"/>
  </r>
  <r>
    <d v="2026-06-19T20:23:34"/>
    <d v="2026-06-19T00:00:00"/>
    <d v="2026-06-19T15:23:34"/>
    <d v="2026-06-19T00:00:00"/>
    <d v="2026-06-19T15:10:45"/>
    <d v="2026-06-19T15:23:33"/>
    <d v="2026-06-25T11:18:35"/>
    <d v="2026-06-25T00:00:00"/>
    <n v="11717"/>
    <s v="Country Burger"/>
    <n v="241736"/>
    <s v="Country Burger (Murphy Rd)"/>
    <s v="NULL"/>
    <s v="Order"/>
    <s v="68f5c0d2-9c5e-3001-ad4d-18e31be1027e"/>
    <n v="17527433892"/>
    <s v="1BE1027E"/>
    <s v="a492c5ca-3c4e-4759-9d7e-70b59041cd11"/>
    <s v="eca2a8c9-7bad-460d-b992-1886ae3d8ea4"/>
    <s v="Marketplace"/>
    <s v="NULL"/>
    <x v="1"/>
    <s v="USD"/>
    <n v="40.46"/>
    <n v="2.6"/>
    <n v="0"/>
    <n v="-4.87"/>
    <n v="-0.13"/>
    <n v="0"/>
    <n v="0"/>
    <n v="-8"/>
    <n v="0"/>
    <n v="0"/>
    <n v="0"/>
    <n v="0"/>
    <n v="0"/>
    <n v="0"/>
    <n v="30.06"/>
    <n v="0"/>
    <n v="0"/>
    <n v="32.46"/>
    <n v="0"/>
    <n v="0"/>
    <n v="589239030"/>
  </r>
  <r>
    <d v="2026-06-19T18:32:54"/>
    <d v="2026-06-19T00:00:00"/>
    <d v="2026-06-19T13:32:54"/>
    <d v="2026-06-19T00:00:00"/>
    <d v="2026-06-19T13:15:58"/>
    <d v="2026-06-19T13:32:53"/>
    <d v="2026-06-25T11:18:35"/>
    <d v="2026-06-25T00:00:00"/>
    <n v="11717"/>
    <s v="Country Burger"/>
    <n v="241736"/>
    <s v="Country Burger (Murphy Rd)"/>
    <s v="NULL"/>
    <s v="Order"/>
    <s v="d061dfd3-5faa-3001-8205-1e530c7e85ec"/>
    <n v="17526213121"/>
    <s v="0C7E85EC"/>
    <s v="a0eb914e-a46e-47c2-a0d0-af51a3e1cdf0"/>
    <s v="e3da4695-8302-4c29-a948-853f7a94b598"/>
    <s v="Marketplace"/>
    <s v="NULL"/>
    <x v="1"/>
    <s v="USD"/>
    <n v="30.73"/>
    <n v="1.82"/>
    <n v="0"/>
    <n v="-3.41"/>
    <n v="-0.09"/>
    <n v="0"/>
    <n v="0"/>
    <n v="-8"/>
    <n v="0"/>
    <n v="0"/>
    <n v="0"/>
    <n v="0"/>
    <n v="0"/>
    <n v="0"/>
    <n v="21.05"/>
    <n v="0"/>
    <n v="0"/>
    <n v="22.73"/>
    <n v="0"/>
    <n v="0"/>
    <n v="589239030"/>
  </r>
  <r>
    <d v="2026-06-19T17:19:30"/>
    <d v="2026-06-19T00:00:00"/>
    <d v="2026-06-19T12:19:30"/>
    <d v="2026-06-19T00:00:00"/>
    <d v="2026-06-19T12:08:57"/>
    <d v="2026-06-19T12:19:29"/>
    <d v="2026-06-25T11:18:35"/>
    <d v="2026-06-25T00:00:00"/>
    <n v="11717"/>
    <s v="Country Burger"/>
    <n v="241736"/>
    <s v="Country Burger (Murphy Rd)"/>
    <s v="NULL"/>
    <s v="Order"/>
    <s v="8dc5659e-a83b-3001-97eb-39de12037069"/>
    <n v="17525377469"/>
    <n v="12037069"/>
    <s v="da8f6892-5005-4b0c-8910-930deed19e4d"/>
    <s v="abd0d146-301b-498e-89f1-1c71435c90f0"/>
    <s v="Marketplace"/>
    <s v="NULL"/>
    <x v="1"/>
    <s v="USD"/>
    <n v="3.99"/>
    <n v="0.32"/>
    <n v="0"/>
    <n v="-0.6"/>
    <n v="-0.02"/>
    <n v="0"/>
    <n v="0"/>
    <n v="0"/>
    <n v="0"/>
    <n v="0"/>
    <n v="0"/>
    <n v="0"/>
    <n v="0"/>
    <n v="0"/>
    <n v="3.69"/>
    <n v="0"/>
    <n v="0"/>
    <n v="3.99"/>
    <n v="0"/>
    <n v="0"/>
    <n v="589239030"/>
  </r>
  <r>
    <d v="2026-06-19T17:19:14"/>
    <d v="2026-06-19T00:00:00"/>
    <d v="2026-06-19T12:19:14"/>
    <d v="2026-06-19T00:00:00"/>
    <d v="2026-06-19T12:07:32"/>
    <d v="2026-06-19T12:19:13"/>
    <d v="2026-06-25T11:18:35"/>
    <d v="2026-06-25T00:00:00"/>
    <n v="11717"/>
    <s v="Country Burger"/>
    <n v="241736"/>
    <s v="Country Burger (Murphy Rd)"/>
    <s v="NULL"/>
    <s v="Order"/>
    <s v="d318ed79-ab62-3001-a5ce-02b7dabb1829"/>
    <n v="17525374650"/>
    <s v="DABB1829"/>
    <s v="f948839a-463c-4348-bf0e-51dd884cff1a"/>
    <s v="73ad3d61-62ba-4324-8190-4ae899b33283"/>
    <s v="Marketplace"/>
    <s v="NULL"/>
    <x v="1"/>
    <s v="USD"/>
    <n v="44.67"/>
    <n v="3.57"/>
    <n v="0"/>
    <n v="-6.7"/>
    <n v="-0.18"/>
    <n v="0"/>
    <n v="0"/>
    <n v="0"/>
    <n v="0"/>
    <n v="0"/>
    <n v="0"/>
    <n v="0"/>
    <n v="0"/>
    <n v="0"/>
    <n v="41.36"/>
    <n v="0"/>
    <n v="0"/>
    <n v="44.67"/>
    <n v="0"/>
    <n v="0"/>
    <n v="589239030"/>
  </r>
  <r>
    <d v="2026-06-19T16:11:45"/>
    <d v="2026-06-19T00:00:00"/>
    <d v="2026-06-19T11:11:45"/>
    <d v="2026-06-19T00:00:00"/>
    <d v="2026-06-19T10:46:42"/>
    <d v="2026-06-19T11:11:45"/>
    <d v="2026-06-25T11:18:35"/>
    <d v="2026-06-25T00:00:00"/>
    <n v="11717"/>
    <s v="Country Burger"/>
    <n v="241736"/>
    <s v="Country Burger (Murphy Rd)"/>
    <s v="NULL"/>
    <s v="Order"/>
    <s v="22fa1a8f-ef0e-3001-9ad7-bc73b14da14b"/>
    <n v="17524643513"/>
    <s v="B14DA14B"/>
    <s v="48f10776-eba2-496b-acbf-0243cc93849b"/>
    <s v="4a128ee6-0485-47b7-b5a5-fd4a69505080"/>
    <s v="Marketplace"/>
    <s v="NULL"/>
    <x v="0"/>
    <s v="USD"/>
    <n v="48.96"/>
    <n v="3.92"/>
    <n v="7.93"/>
    <n v="-2.94"/>
    <n v="-0.19"/>
    <n v="0"/>
    <n v="0"/>
    <n v="0"/>
    <n v="0"/>
    <n v="0"/>
    <n v="0"/>
    <n v="0"/>
    <n v="0"/>
    <n v="0"/>
    <n v="57.68"/>
    <n v="0"/>
    <n v="0"/>
    <n v="48.96"/>
    <n v="0"/>
    <n v="0"/>
    <n v="589239030"/>
  </r>
  <r>
    <d v="2026-06-19T01:09:54"/>
    <d v="2026-06-19T00:00:00"/>
    <d v="2026-06-18T20:09:54"/>
    <d v="2026-06-18T00:00:00"/>
    <d v="2026-06-18T19:49:57"/>
    <d v="2026-06-18T20:09:53"/>
    <d v="2026-06-25T11:18:35"/>
    <d v="2026-06-25T00:00:00"/>
    <n v="11717"/>
    <s v="Country Burger"/>
    <n v="241736"/>
    <s v="Country Burger (Murphy Rd)"/>
    <s v="NULL"/>
    <s v="Order"/>
    <s v="05dad614-8a88-3001-86cf-660ca60924cc"/>
    <n v="17519628077"/>
    <s v="A60924CC"/>
    <s v="d653c5e1-f840-4f46-8dd6-9b87fd7ebd5d"/>
    <s v="ddc79110-8147-4f6d-8f4e-bd3607e23ae6"/>
    <s v="Marketplace"/>
    <s v="NULL"/>
    <x v="1"/>
    <s v="USD"/>
    <n v="11.74"/>
    <n v="0.94"/>
    <n v="0"/>
    <n v="-1.76"/>
    <n v="-0.05"/>
    <n v="0"/>
    <n v="0"/>
    <n v="0"/>
    <n v="0"/>
    <n v="0"/>
    <n v="0"/>
    <n v="0"/>
    <n v="0"/>
    <n v="0"/>
    <n v="10.87"/>
    <n v="0"/>
    <n v="0"/>
    <n v="11.74"/>
    <n v="0"/>
    <n v="0"/>
    <n v="589239030"/>
  </r>
  <r>
    <d v="2026-06-19T00:15:29"/>
    <d v="2026-06-19T00:00:00"/>
    <d v="2026-06-18T19:15:29"/>
    <d v="2026-06-18T00:00:00"/>
    <d v="2026-06-18T18:49:14"/>
    <d v="2026-06-18T19:15:28"/>
    <d v="2026-06-25T11:18:35"/>
    <d v="2026-06-25T00:00:00"/>
    <n v="11717"/>
    <s v="Country Burger"/>
    <n v="241736"/>
    <s v="Country Burger (Murphy Rd)"/>
    <s v="NULL"/>
    <s v="Order"/>
    <s v="24adbdb1-7d1a-3001-9442-070c3add0174"/>
    <n v="17518770272"/>
    <s v="3ADD0174"/>
    <s v="8a2953ce-5dc4-497c-b5c8-c5ce15e98be7"/>
    <s v="52298cad-3494-4d7f-b0d7-04b89090ced7"/>
    <s v="Marketplace"/>
    <s v="NULL"/>
    <x v="1"/>
    <s v="USD"/>
    <n v="33.950000000000003"/>
    <n v="2.72"/>
    <n v="0"/>
    <n v="-5.09"/>
    <n v="-0.13"/>
    <n v="0"/>
    <n v="0"/>
    <n v="0"/>
    <n v="0"/>
    <n v="0"/>
    <n v="0"/>
    <n v="0"/>
    <n v="0"/>
    <n v="0"/>
    <n v="31.45"/>
    <n v="0"/>
    <n v="0"/>
    <n v="33.950000000000003"/>
    <n v="0"/>
    <n v="0"/>
    <n v="589239030"/>
  </r>
  <r>
    <d v="2026-06-18T23:50:28"/>
    <d v="2026-06-18T00:00:00"/>
    <d v="2026-06-18T18:50:28"/>
    <d v="2026-06-18T00:00:00"/>
    <d v="2026-06-18T18:29:42"/>
    <d v="2026-06-18T18:50:26"/>
    <d v="2026-06-25T11:18:35"/>
    <d v="2026-06-25T00:00:00"/>
    <n v="11717"/>
    <s v="Country Burger"/>
    <n v="241736"/>
    <s v="Country Burger (Murphy Rd)"/>
    <s v="NULL"/>
    <s v="Order"/>
    <s v="fcc40acf-c947-3001-a051-626619c61a25"/>
    <n v="17518370420"/>
    <s v="19C61A25"/>
    <s v="29619aae-a098-495d-bcf0-904cb0261fc7"/>
    <s v="c2b981da-401f-47eb-a87c-176a16395978"/>
    <s v="Marketplace"/>
    <s v="NULL"/>
    <x v="1"/>
    <s v="USD"/>
    <n v="42.06"/>
    <n v="3.36"/>
    <n v="0"/>
    <n v="-6.31"/>
    <n v="-0.17"/>
    <n v="0"/>
    <n v="0"/>
    <n v="0"/>
    <n v="0"/>
    <n v="0"/>
    <n v="0"/>
    <n v="0"/>
    <n v="0"/>
    <n v="0"/>
    <n v="38.94"/>
    <n v="0"/>
    <n v="0"/>
    <n v="42.06"/>
    <n v="0"/>
    <n v="0"/>
    <n v="589239030"/>
  </r>
  <r>
    <d v="2026-06-18T17:48:55"/>
    <d v="2026-06-18T00:00:00"/>
    <d v="2026-06-18T12:48:55"/>
    <d v="2026-06-18T00:00:00"/>
    <d v="2026-06-18T12:31:54"/>
    <d v="2026-06-18T12:48:53"/>
    <d v="2026-06-25T11:18:35"/>
    <d v="2026-06-25T00:00:00"/>
    <n v="11717"/>
    <s v="Country Burger"/>
    <n v="241736"/>
    <s v="Country Burger (Murphy Rd)"/>
    <s v="NULL"/>
    <s v="Order"/>
    <s v="f5b0c2d9-de3f-3001-889a-eda74eb6c587"/>
    <n v="17513995919"/>
    <s v="4EB6C587"/>
    <s v="a74fc16e-b98b-450c-ac54-266f0ac5c812"/>
    <s v="67df172b-e234-4485-b5b0-9a6d33098717"/>
    <s v="Marketplace"/>
    <s v="NULL"/>
    <x v="1"/>
    <s v="USD"/>
    <n v="17.18"/>
    <n v="0.73"/>
    <n v="0"/>
    <n v="-1.38"/>
    <n v="-0.04"/>
    <n v="0"/>
    <n v="0"/>
    <n v="-8"/>
    <n v="0"/>
    <n v="0"/>
    <n v="0"/>
    <n v="0"/>
    <n v="0"/>
    <n v="0"/>
    <n v="8.49"/>
    <n v="0"/>
    <n v="0"/>
    <n v="9.18"/>
    <n v="0"/>
    <n v="0"/>
    <n v="589239030"/>
  </r>
  <r>
    <d v="2026-06-17T22:54:10"/>
    <d v="2026-06-17T00:00:00"/>
    <d v="2026-06-17T17:54:10"/>
    <d v="2026-06-17T00:00:00"/>
    <d v="2026-06-17T17:41:18"/>
    <d v="2026-06-17T17:54:09"/>
    <d v="2026-06-25T11:18:35"/>
    <d v="2026-06-25T00:00:00"/>
    <n v="11717"/>
    <s v="Country Burger"/>
    <n v="241736"/>
    <s v="Country Burger (Murphy Rd)"/>
    <s v="NULL"/>
    <s v="Order"/>
    <s v="c226941e-55f7-3001-b54b-29cd3a292b4f"/>
    <n v="17506125627"/>
    <s v="3A292B4F"/>
    <s v="0e440156-bd17-4b02-8077-a978118c8d43"/>
    <s v="17fdcdd0-80d4-496d-ad85-7434cfd396e5"/>
    <s v="Marketplace"/>
    <s v="NULL"/>
    <x v="1"/>
    <s v="USD"/>
    <n v="48.06"/>
    <n v="3.2"/>
    <n v="0"/>
    <n v="-6.01"/>
    <n v="-0.16"/>
    <n v="0"/>
    <n v="0"/>
    <n v="-8"/>
    <n v="0"/>
    <n v="0"/>
    <n v="0"/>
    <n v="0"/>
    <n v="0"/>
    <n v="0"/>
    <n v="37.090000000000003"/>
    <n v="0"/>
    <n v="0"/>
    <n v="40.06"/>
    <n v="0"/>
    <n v="0"/>
    <n v="589239030"/>
  </r>
  <r>
    <d v="2026-06-17T22:22:20"/>
    <d v="2026-06-17T00:00:00"/>
    <d v="2026-06-17T17:22:20"/>
    <d v="2026-06-17T00:00:00"/>
    <d v="2026-06-17T17:12:02"/>
    <d v="2026-06-17T17:22:19"/>
    <d v="2026-06-25T11:18:35"/>
    <d v="2026-06-25T00:00:00"/>
    <n v="11717"/>
    <s v="Country Burger"/>
    <n v="241736"/>
    <s v="Country Burger (Murphy Rd)"/>
    <s v="NULL"/>
    <s v="Order"/>
    <s v="1b428af7-7fd6-3001-9fdc-ec457414e790"/>
    <n v="17505675374"/>
    <s v="7414E790"/>
    <s v="25660d77-cd1d-4d38-8942-aa5e9567a298"/>
    <s v="c9e4b1a7-e385-4d23-8f2a-5a526748e3ec"/>
    <s v="Marketplace"/>
    <s v="NULL"/>
    <x v="1"/>
    <s v="USD"/>
    <n v="28.23"/>
    <n v="2.2599999999999998"/>
    <n v="0"/>
    <n v="-4.2300000000000004"/>
    <n v="-0.11"/>
    <n v="0"/>
    <n v="0"/>
    <n v="0"/>
    <n v="0"/>
    <n v="0"/>
    <n v="0"/>
    <n v="0"/>
    <n v="0"/>
    <n v="0"/>
    <n v="26.15"/>
    <n v="0"/>
    <n v="0"/>
    <n v="28.23"/>
    <n v="0"/>
    <n v="0"/>
    <n v="589239030"/>
  </r>
  <r>
    <d v="2026-06-17T22:05:23"/>
    <d v="2026-06-17T00:00:00"/>
    <d v="2026-06-17T17:05:23"/>
    <d v="2026-06-17T00:00:00"/>
    <d v="2026-06-17T16:51:01"/>
    <d v="2026-06-17T17:05:22"/>
    <d v="2026-06-25T11:18:35"/>
    <d v="2026-06-25T00:00:00"/>
    <n v="11717"/>
    <s v="Country Burger"/>
    <n v="241736"/>
    <s v="Country Burger (Murphy Rd)"/>
    <s v="NULL"/>
    <s v="Order"/>
    <s v="e9441d30-3ded-3001-9db4-d4cf1db94031"/>
    <n v="17505465992"/>
    <s v="1DB94031"/>
    <s v="83b525ae-86ef-4ce4-aa4a-45279ff752ae"/>
    <s v="e16ba43f-3c07-4b3b-ae73-3a3b304ef845"/>
    <s v="Marketplace"/>
    <s v="NULL"/>
    <x v="1"/>
    <s v="USD"/>
    <n v="33.47"/>
    <n v="2.68"/>
    <n v="0"/>
    <n v="-5.0199999999999996"/>
    <n v="-0.13"/>
    <n v="0"/>
    <n v="0"/>
    <n v="0"/>
    <n v="0"/>
    <n v="0"/>
    <n v="0"/>
    <n v="0"/>
    <n v="0"/>
    <n v="0"/>
    <n v="31"/>
    <n v="0"/>
    <n v="0"/>
    <n v="33.47"/>
    <n v="0"/>
    <n v="0"/>
    <n v="589239030"/>
  </r>
  <r>
    <d v="2026-06-17T16:26:01"/>
    <d v="2026-06-17T00:00:00"/>
    <d v="2026-06-17T11:26:01"/>
    <d v="2026-06-17T00:00:00"/>
    <d v="2026-06-17T11:16:31"/>
    <d v="2026-06-17T11:26:00"/>
    <d v="2026-06-25T11:18:35"/>
    <d v="2026-06-25T00:00:00"/>
    <n v="11717"/>
    <s v="Country Burger"/>
    <n v="241736"/>
    <s v="Country Burger (Murphy Rd)"/>
    <s v="NULL"/>
    <s v="Order"/>
    <s v="4c94ce6d-d793-3001-91f6-00eeb210621c"/>
    <n v="17501815895"/>
    <s v="B210621C"/>
    <s v="a9c22cfa-7b0a-42ca-9a20-ddf4b37dd9b1"/>
    <s v="7743b489-fe26-4311-ac50-f0df00383336"/>
    <s v="Marketplace"/>
    <s v="NULL"/>
    <x v="1"/>
    <s v="USD"/>
    <n v="13.49"/>
    <n v="1.08"/>
    <n v="0"/>
    <n v="-2.02"/>
    <n v="-0.05"/>
    <n v="0"/>
    <n v="0"/>
    <n v="0"/>
    <n v="0"/>
    <n v="0"/>
    <n v="0"/>
    <n v="0"/>
    <n v="0"/>
    <n v="0"/>
    <n v="12.5"/>
    <n v="0"/>
    <n v="0"/>
    <n v="13.49"/>
    <n v="0"/>
    <n v="0"/>
    <n v="589239030"/>
  </r>
  <r>
    <d v="2026-06-16T23:59:25"/>
    <d v="2026-06-16T00:00:00"/>
    <d v="2026-06-16T18:59:25"/>
    <d v="2026-06-16T00:00:00"/>
    <d v="2026-06-16T18:47:42"/>
    <d v="2026-06-16T18:59:25"/>
    <d v="2026-06-25T11:18:35"/>
    <d v="2026-06-25T00:00:00"/>
    <n v="11717"/>
    <s v="Country Burger"/>
    <n v="241736"/>
    <s v="Country Burger (Murphy Rd)"/>
    <s v="NULL"/>
    <s v="Order"/>
    <s v="8013d7c6-2c48-3001-aac6-e809a6246aaa"/>
    <n v="17496222865"/>
    <s v="A6246AAA"/>
    <s v="11547bae-59aa-4131-a81f-83e7d5a31127"/>
    <s v="aeae02bd-de9c-4bc3-8787-9b5e9490c18c"/>
    <s v="Marketplace"/>
    <s v="NULL"/>
    <x v="0"/>
    <s v="USD"/>
    <n v="28.08"/>
    <n v="2.25"/>
    <n v="0"/>
    <n v="-1.68"/>
    <n v="-0.11"/>
    <n v="0"/>
    <n v="0"/>
    <n v="0"/>
    <n v="0"/>
    <n v="0"/>
    <n v="0"/>
    <n v="0"/>
    <n v="0"/>
    <n v="0"/>
    <n v="28.54"/>
    <n v="0"/>
    <n v="0"/>
    <n v="28.08"/>
    <n v="0"/>
    <n v="0"/>
    <n v="589239030"/>
  </r>
  <r>
    <d v="2026-06-16T23:47:13"/>
    <d v="2026-06-16T00:00:00"/>
    <d v="2026-06-16T18:47:13"/>
    <d v="2026-06-16T00:00:00"/>
    <d v="2026-06-16T18:23:41"/>
    <d v="2026-06-16T18:47:11"/>
    <d v="2026-06-25T11:18:35"/>
    <d v="2026-06-25T00:00:00"/>
    <n v="11717"/>
    <s v="Country Burger"/>
    <n v="241736"/>
    <s v="Country Burger (Murphy Rd)"/>
    <s v="NULL"/>
    <s v="Order"/>
    <s v="837af957-34ac-3001-99ad-85ede9dd26c7"/>
    <n v="17496052554"/>
    <s v="E9DD26C7"/>
    <s v="aeea5d3e-3514-4157-a833-cdebc8f85a61"/>
    <s v="bca08973-c8ce-4aeb-b1c9-ec337d20f695"/>
    <s v="Marketplace"/>
    <s v="NULL"/>
    <x v="1"/>
    <s v="USD"/>
    <n v="17.09"/>
    <n v="1.37"/>
    <n v="0"/>
    <n v="-2.56"/>
    <n v="-7.0000000000000007E-2"/>
    <n v="0"/>
    <n v="0"/>
    <n v="0"/>
    <n v="0"/>
    <n v="0"/>
    <n v="0"/>
    <n v="0"/>
    <n v="0"/>
    <n v="0"/>
    <n v="15.83"/>
    <n v="0"/>
    <n v="0"/>
    <n v="17.09"/>
    <n v="0"/>
    <n v="0"/>
    <n v="589239030"/>
  </r>
  <r>
    <d v="2026-06-16T17:49:48"/>
    <d v="2026-06-16T00:00:00"/>
    <d v="2026-06-16T12:49:48"/>
    <d v="2026-06-16T00:00:00"/>
    <d v="2026-06-16T12:42:32"/>
    <d v="2026-06-16T12:49:47"/>
    <d v="2026-06-25T11:18:35"/>
    <d v="2026-06-25T00:00:00"/>
    <n v="11717"/>
    <s v="Country Burger"/>
    <n v="241736"/>
    <s v="Country Burger (Murphy Rd)"/>
    <s v="NULL"/>
    <s v="Order"/>
    <s v="9defdec3-1e06-3001-96fe-777ed26d9a89"/>
    <n v="17492036206"/>
    <s v="D26D9A89"/>
    <s v="25898917-6923-4532-9d5e-3fa00307f5aa"/>
    <s v="ee21e086-1a6a-4ed2-9d64-d66ee54a615f"/>
    <s v="Marketplace"/>
    <s v="NULL"/>
    <x v="1"/>
    <s v="USD"/>
    <n v="13.98"/>
    <n v="1.1200000000000001"/>
    <n v="0"/>
    <n v="-2.1"/>
    <n v="-0.05"/>
    <n v="0"/>
    <n v="0"/>
    <n v="0"/>
    <n v="0"/>
    <n v="0"/>
    <n v="0"/>
    <n v="0"/>
    <n v="0"/>
    <n v="0"/>
    <n v="12.95"/>
    <n v="0"/>
    <n v="0"/>
    <n v="13.98"/>
    <n v="0"/>
    <n v="0"/>
    <n v="589239030"/>
  </r>
  <r>
    <d v="2026-06-16T00:10:07"/>
    <d v="2026-06-16T00:00:00"/>
    <d v="2026-06-15T19:10:07"/>
    <d v="2026-06-15T00:00:00"/>
    <d v="2026-06-15T18:48:24"/>
    <d v="2026-06-15T19:10:05"/>
    <d v="2026-06-25T11:18:35"/>
    <d v="2026-06-25T00:00:00"/>
    <n v="11717"/>
    <s v="Country Burger"/>
    <n v="241736"/>
    <s v="Country Burger (Murphy Rd)"/>
    <s v="NULL"/>
    <s v="Order"/>
    <s v="524b8cb4-e042-3001-a4fe-5bcbe3711742"/>
    <n v="17486332782"/>
    <s v="E3711742"/>
    <s v="5e91b84f-a1b4-4737-a861-f86d6cb53612"/>
    <s v="b4404ed6-9a5c-4c85-aeae-4aac6c58f492"/>
    <s v="Marketplace"/>
    <s v="NULL"/>
    <x v="1"/>
    <s v="USD"/>
    <n v="37.229999999999997"/>
    <n v="2.98"/>
    <n v="0"/>
    <n v="-5.58"/>
    <n v="-0.15"/>
    <n v="0"/>
    <n v="0"/>
    <n v="0"/>
    <n v="0"/>
    <n v="0"/>
    <n v="0"/>
    <n v="0"/>
    <n v="0"/>
    <n v="0"/>
    <n v="34.479999999999997"/>
    <n v="0"/>
    <n v="0"/>
    <n v="37.229999999999997"/>
    <n v="0"/>
    <n v="0"/>
    <n v="589239030"/>
  </r>
  <r>
    <d v="2026-06-15T23:51:11"/>
    <d v="2026-06-15T00:00:00"/>
    <d v="2026-06-15T18:51:11"/>
    <d v="2026-06-15T00:00:00"/>
    <d v="2026-06-15T18:35:40"/>
    <d v="2026-06-15T18:51:10"/>
    <d v="2026-06-25T11:18:35"/>
    <d v="2026-06-25T00:00:00"/>
    <n v="11717"/>
    <s v="Country Burger"/>
    <n v="241736"/>
    <s v="Country Burger (Murphy Rd)"/>
    <s v="NULL"/>
    <s v="Order"/>
    <s v="e4b7175b-a977-3001-9f98-6d94cbb901dd"/>
    <n v="17486068973"/>
    <s v="CBB901DD"/>
    <s v="49acd103-f307-48e0-8be2-8adba7613613"/>
    <s v="10bd1220-a5ac-4a6e-9c43-0ad5408d286a"/>
    <s v="Marketplace"/>
    <s v="NULL"/>
    <x v="1"/>
    <s v="USD"/>
    <n v="14.09"/>
    <n v="1.1299999999999999"/>
    <n v="0"/>
    <n v="-2.11"/>
    <n v="-0.06"/>
    <n v="0"/>
    <n v="0"/>
    <n v="0"/>
    <n v="0"/>
    <n v="0"/>
    <n v="0"/>
    <n v="0"/>
    <n v="0"/>
    <n v="0"/>
    <n v="13.05"/>
    <n v="0"/>
    <n v="0"/>
    <n v="14.09"/>
    <n v="0"/>
    <n v="0"/>
    <n v="589239030"/>
  </r>
  <r>
    <d v="2026-06-15T21:55:41"/>
    <d v="2026-06-15T00:00:00"/>
    <d v="2026-06-15T16:55:41"/>
    <d v="2026-06-15T00:00:00"/>
    <d v="2026-06-15T16:48:55"/>
    <d v="2026-06-15T16:55:40"/>
    <d v="2026-06-25T11:18:35"/>
    <d v="2026-06-25T00:00:00"/>
    <n v="11717"/>
    <s v="Country Burger"/>
    <n v="241736"/>
    <s v="Country Burger (Murphy Rd)"/>
    <s v="NULL"/>
    <s v="Order"/>
    <s v="3ab78185-874e-3001-8d57-667927ec8582"/>
    <n v="17484607149"/>
    <s v="27EC8582"/>
    <s v="cf5b7e25-89ff-4dec-aec7-b98844ab5549"/>
    <s v="98c70ba6-02b3-468c-b24e-1051ab3124c0"/>
    <s v="Marketplace"/>
    <s v="NULL"/>
    <x v="1"/>
    <s v="USD"/>
    <n v="3.99"/>
    <n v="0.32"/>
    <n v="0"/>
    <n v="-0.6"/>
    <n v="-0.02"/>
    <n v="0"/>
    <n v="0"/>
    <n v="0"/>
    <n v="0"/>
    <n v="0"/>
    <n v="0"/>
    <n v="0"/>
    <n v="0"/>
    <n v="0"/>
    <n v="3.69"/>
    <n v="0"/>
    <n v="0"/>
    <n v="3.99"/>
    <n v="0"/>
    <n v="0"/>
    <n v="589239030"/>
  </r>
  <r>
    <d v="2026-06-15T20:33:42"/>
    <d v="2026-06-15T00:00:00"/>
    <d v="2026-06-15T15:33:42"/>
    <d v="2026-06-15T00:00:00"/>
    <d v="2026-06-15T15:26:09"/>
    <d v="2026-06-15T15:33:41"/>
    <d v="2026-06-25T11:18:35"/>
    <d v="2026-06-25T00:00:00"/>
    <n v="11717"/>
    <s v="Country Burger"/>
    <n v="241736"/>
    <s v="Country Burger (Murphy Rd)"/>
    <s v="NULL"/>
    <s v="Order"/>
    <s v="60913119-98c3-3001-ab28-6f013de2c16c"/>
    <n v="17483795874"/>
    <s v="3DE2C16C"/>
    <s v="835dd5ff-e119-44a1-8b3c-545a7817f606"/>
    <s v="a7a2eb8d-bdf1-4b43-aa8b-46a047f981d2"/>
    <s v="Marketplace"/>
    <s v="NULL"/>
    <x v="1"/>
    <s v="USD"/>
    <n v="28.21"/>
    <n v="2.2599999999999998"/>
    <n v="0"/>
    <n v="-4.2300000000000004"/>
    <n v="-0.11"/>
    <n v="0"/>
    <n v="0"/>
    <n v="0"/>
    <n v="0"/>
    <n v="0"/>
    <n v="0"/>
    <n v="0"/>
    <n v="0"/>
    <n v="0"/>
    <n v="26.13"/>
    <n v="0"/>
    <n v="0"/>
    <n v="28.21"/>
    <n v="0"/>
    <n v="0"/>
    <n v="589239030"/>
  </r>
  <r>
    <d v="2026-06-15T19:20:52"/>
    <d v="2026-06-15T00:00:00"/>
    <d v="2026-06-15T14:20:52"/>
    <d v="2026-06-15T00:00:00"/>
    <d v="2026-06-15T12:44:30"/>
    <d v="2026-06-15T14:20:51"/>
    <d v="2026-06-25T11:18:35"/>
    <d v="2026-06-25T00:00:00"/>
    <n v="11717"/>
    <s v="Country Burger"/>
    <n v="241736"/>
    <s v="Country Burger (Murphy Rd)"/>
    <s v="NULL"/>
    <s v="Order"/>
    <s v="46fbbeff-f2ec-3001-9b38-cf421c5ebe14"/>
    <n v="17483101309"/>
    <s v="1C5EBE14"/>
    <s v="e0523455-e8e1-4f60-9c2c-182a138a6e68"/>
    <s v="70085c71-1a95-4912-a1ac-29fec0d6fc7e"/>
    <s v="Marketplace"/>
    <s v="NULL"/>
    <x v="0"/>
    <s v="USD"/>
    <n v="34.380000000000003"/>
    <n v="2.75"/>
    <n v="0"/>
    <n v="-2.06"/>
    <n v="-0.14000000000000001"/>
    <n v="0"/>
    <n v="0"/>
    <n v="0"/>
    <n v="0"/>
    <n v="0"/>
    <n v="0"/>
    <n v="0"/>
    <n v="0"/>
    <n v="0"/>
    <n v="34.93"/>
    <n v="0"/>
    <n v="0"/>
    <n v="34.380000000000003"/>
    <n v="0"/>
    <n v="0"/>
    <n v="589239030"/>
  </r>
  <r>
    <d v="2026-06-15T17:31:58"/>
    <d v="2026-06-15T00:00:00"/>
    <d v="2026-06-15T12:31:58"/>
    <d v="2026-06-15T00:00:00"/>
    <d v="2026-06-15T12:18:26"/>
    <d v="2026-06-15T12:31:57"/>
    <d v="2026-06-25T11:18:35"/>
    <d v="2026-06-25T00:00:00"/>
    <n v="11717"/>
    <s v="Country Burger"/>
    <n v="241736"/>
    <s v="Country Burger (Murphy Rd)"/>
    <s v="NULL"/>
    <s v="Order"/>
    <s v="12f4afce-f8c8-3001-9208-f141c4e00b02"/>
    <n v="17482014578"/>
    <s v="C4E00B02"/>
    <s v="34b8ed5c-7642-4efd-8cac-44f9906f9fa5"/>
    <s v="93ccef52-c8b5-4715-8f34-34451bd701cd"/>
    <s v="Marketplace"/>
    <s v="NULL"/>
    <x v="1"/>
    <s v="USD"/>
    <n v="17.68"/>
    <n v="1.41"/>
    <n v="0"/>
    <n v="-2.65"/>
    <n v="-7.0000000000000007E-2"/>
    <n v="0"/>
    <n v="0"/>
    <n v="0"/>
    <n v="0"/>
    <n v="0"/>
    <n v="0"/>
    <n v="0"/>
    <n v="0"/>
    <n v="0"/>
    <n v="16.37"/>
    <n v="0"/>
    <n v="0"/>
    <n v="17.68"/>
    <n v="0"/>
    <n v="0"/>
    <n v="589239030"/>
  </r>
  <r>
    <d v="2026-06-15T17:15:27"/>
    <d v="2026-06-15T00:00:00"/>
    <d v="2026-06-15T12:15:27"/>
    <d v="2026-06-15T00:00:00"/>
    <d v="2026-06-15T12:04:31"/>
    <d v="2026-06-15T12:15:26"/>
    <d v="2026-06-25T11:18:35"/>
    <d v="2026-06-25T00:00:00"/>
    <n v="11717"/>
    <s v="Country Burger"/>
    <n v="241736"/>
    <s v="Country Burger (Murphy Rd)"/>
    <s v="NULL"/>
    <s v="Order"/>
    <s v="fde136a1-6db0-3001-bcca-5bf949ce74e4"/>
    <n v="17481845096"/>
    <s v="49CE74E4"/>
    <s v="5da3061d-46f9-445f-b288-ae8f89a1e5ba"/>
    <s v="ba0f5ba4-b0ba-4a09-954e-d964ad585528"/>
    <s v="Marketplace"/>
    <s v="NULL"/>
    <x v="1"/>
    <s v="USD"/>
    <n v="16.440000000000001"/>
    <n v="1.32"/>
    <n v="0"/>
    <n v="-2.4700000000000002"/>
    <n v="-0.06"/>
    <n v="0"/>
    <n v="0"/>
    <n v="0"/>
    <n v="0"/>
    <n v="0"/>
    <n v="0"/>
    <n v="0"/>
    <n v="0"/>
    <n v="0"/>
    <n v="15.23"/>
    <n v="0"/>
    <n v="0"/>
    <n v="16.440000000000001"/>
    <n v="0"/>
    <n v="0"/>
    <n v="589239030"/>
  </r>
  <r>
    <d v="2026-06-15T16:54:08"/>
    <d v="2026-06-15T00:00:00"/>
    <d v="2026-06-15T11:54:08"/>
    <d v="2026-06-15T00:00:00"/>
    <d v="2026-06-15T11:47:41"/>
    <d v="2026-06-15T11:54:07"/>
    <d v="2026-06-25T11:18:35"/>
    <d v="2026-06-25T00:00:00"/>
    <n v="11717"/>
    <s v="Country Burger"/>
    <n v="241736"/>
    <s v="Country Burger (Murphy Rd)"/>
    <s v="NULL"/>
    <s v="Order"/>
    <s v="f578b291-40e8-3001-bd1a-a69ba0313eb2"/>
    <n v="17481627610"/>
    <s v="A0313EB2"/>
    <s v="311bac7a-c216-46bb-9cea-5733beed6d46"/>
    <s v="b920d70b-1d48-4455-a062-e86039c9ec9e"/>
    <s v="Marketplace"/>
    <s v="NULL"/>
    <x v="1"/>
    <s v="USD"/>
    <n v="13"/>
    <n v="1.04"/>
    <n v="0"/>
    <n v="-1.95"/>
    <n v="-0.05"/>
    <n v="0"/>
    <n v="0"/>
    <n v="0"/>
    <n v="-1"/>
    <n v="0"/>
    <n v="1"/>
    <n v="0"/>
    <n v="0"/>
    <n v="0"/>
    <n v="12.04"/>
    <n v="0"/>
    <n v="0"/>
    <n v="13"/>
    <n v="0"/>
    <n v="0"/>
    <n v="589239030"/>
  </r>
  <r>
    <d v="2026-06-14T23:46:39"/>
    <d v="2026-06-14T00:00:00"/>
    <d v="2026-06-14T18:46:39"/>
    <d v="2026-06-14T00:00:00"/>
    <d v="2026-06-14T18:32:11"/>
    <d v="2026-06-14T18:46:38"/>
    <d v="2026-06-18T10:27:37"/>
    <d v="2026-06-18T00:00:00"/>
    <n v="11717"/>
    <s v="Country Burger"/>
    <n v="241736"/>
    <s v="Country Burger (Murphy Rd)"/>
    <s v="NULL"/>
    <s v="Order"/>
    <s v="6be8f611-0c46-3001-a409-9a094987e6e6"/>
    <n v="17475538754"/>
    <s v="4987E6E6"/>
    <s v="dcb06bac-fae1-43fa-abeb-372de144204b"/>
    <s v="3f02f86b-76b7-4ee9-bffb-582c5bdc0bae"/>
    <s v="Marketplace"/>
    <s v="NULL"/>
    <x v="1"/>
    <s v="USD"/>
    <n v="31.47"/>
    <n v="2.52"/>
    <n v="0"/>
    <n v="-4.72"/>
    <n v="-0.12"/>
    <n v="0"/>
    <n v="0"/>
    <n v="0"/>
    <n v="0"/>
    <n v="0"/>
    <n v="0"/>
    <n v="0"/>
    <n v="0"/>
    <n v="0"/>
    <n v="29.15"/>
    <n v="0"/>
    <n v="0"/>
    <n v="31.47"/>
    <n v="0"/>
    <n v="0"/>
    <n v="587195435"/>
  </r>
  <r>
    <d v="2026-06-14T23:36:31"/>
    <d v="2026-06-14T00:00:00"/>
    <d v="2026-06-14T18:36:31"/>
    <d v="2026-06-14T00:00:00"/>
    <d v="2026-06-14T18:26:21"/>
    <d v="2026-06-14T18:36:30"/>
    <d v="2026-06-18T10:27:37"/>
    <d v="2026-06-18T00:00:00"/>
    <n v="11717"/>
    <s v="Country Burger"/>
    <n v="241736"/>
    <s v="Country Burger (Murphy Rd)"/>
    <s v="NULL"/>
    <s v="Order"/>
    <s v="1be167ee-dbae-3001-8f27-e6fdf89e77e6"/>
    <n v="17475391270"/>
    <s v="F89E77E6"/>
    <s v="f6d722f3-d878-4bb7-96f2-3f97a2b24e9b"/>
    <s v="bb8f042f-6abc-4488-912f-747f4ab51cf9"/>
    <s v="Marketplace"/>
    <s v="NULL"/>
    <x v="1"/>
    <s v="USD"/>
    <n v="15.98"/>
    <n v="1.28"/>
    <n v="0"/>
    <n v="-2.4"/>
    <n v="-0.06"/>
    <n v="0"/>
    <n v="0"/>
    <n v="0"/>
    <n v="0"/>
    <n v="0"/>
    <n v="0"/>
    <n v="0"/>
    <n v="0"/>
    <n v="0"/>
    <n v="14.8"/>
    <n v="0"/>
    <n v="0"/>
    <n v="15.98"/>
    <n v="0"/>
    <n v="0"/>
    <n v="587195435"/>
  </r>
  <r>
    <d v="2026-06-14T23:04:39"/>
    <d v="2026-06-14T00:00:00"/>
    <d v="2026-06-14T18:04:39"/>
    <d v="2026-06-14T00:00:00"/>
    <d v="2026-06-14T17:52:39"/>
    <d v="2026-06-14T18:04:37"/>
    <d v="2026-06-18T10:27:37"/>
    <d v="2026-06-18T00:00:00"/>
    <n v="11717"/>
    <s v="Country Burger"/>
    <n v="241736"/>
    <s v="Country Burger (Murphy Rd)"/>
    <s v="NULL"/>
    <s v="Order"/>
    <s v="919f1086-21ae-3001-9531-2b8f73f9f364"/>
    <n v="17474933220"/>
    <s v="73F9F364"/>
    <s v="b665b62e-7295-47bc-8820-f408639d7f2b"/>
    <s v="3b179234-6133-4931-bfa6-d6e0a0aa110c"/>
    <s v="Marketplace"/>
    <s v="NULL"/>
    <x v="1"/>
    <s v="USD"/>
    <n v="15.73"/>
    <n v="1.26"/>
    <n v="0"/>
    <n v="-2.36"/>
    <n v="-0.06"/>
    <n v="0"/>
    <n v="0"/>
    <n v="0"/>
    <n v="0"/>
    <n v="0"/>
    <n v="0"/>
    <n v="0"/>
    <n v="0"/>
    <n v="0"/>
    <n v="14.57"/>
    <n v="0"/>
    <n v="0"/>
    <n v="15.73"/>
    <n v="0"/>
    <n v="0"/>
    <n v="587195435"/>
  </r>
  <r>
    <d v="2026-06-14T22:42:53"/>
    <d v="2026-06-14T00:00:00"/>
    <d v="2026-06-14T17:42:53"/>
    <d v="2026-06-14T00:00:00"/>
    <d v="2026-06-14T16:08:27"/>
    <d v="2026-06-14T17:42:52"/>
    <d v="2026-06-18T10:27:37"/>
    <d v="2026-06-18T00:00:00"/>
    <n v="11717"/>
    <s v="Country Burger"/>
    <n v="241736"/>
    <s v="Country Burger (Murphy Rd)"/>
    <s v="NULL"/>
    <s v="Order"/>
    <s v="1ad5d236-56d6-3001-b5e5-ebc308c88bd9"/>
    <n v="17474629833"/>
    <s v="08C88BD9"/>
    <s v="57649141-f419-4704-a95d-2e7dc2344f89"/>
    <s v="26c7a198-5c04-46eb-b088-8ebbb8292c2a"/>
    <s v="Marketplace"/>
    <s v="NULL"/>
    <x v="0"/>
    <s v="USD"/>
    <n v="13.98"/>
    <n v="0.48"/>
    <n v="0"/>
    <n v="-0.36"/>
    <n v="-0.02"/>
    <n v="0"/>
    <n v="0"/>
    <n v="-8"/>
    <n v="0"/>
    <n v="0"/>
    <n v="0"/>
    <n v="0"/>
    <n v="0"/>
    <n v="0"/>
    <n v="6.08"/>
    <n v="0"/>
    <n v="0"/>
    <n v="5.98"/>
    <n v="0"/>
    <n v="0"/>
    <n v="587195435"/>
  </r>
  <r>
    <d v="2026-06-14T22:38:06"/>
    <d v="2026-06-14T00:00:00"/>
    <d v="2026-06-14T17:38:06"/>
    <d v="2026-06-14T00:00:00"/>
    <d v="2026-06-14T17:22:37"/>
    <d v="2026-06-14T17:38:05"/>
    <d v="2026-06-18T10:27:37"/>
    <d v="2026-06-18T00:00:00"/>
    <n v="11717"/>
    <s v="Country Burger"/>
    <n v="241736"/>
    <s v="Country Burger (Murphy Rd)"/>
    <s v="NULL"/>
    <s v="Order"/>
    <s v="061bedb7-fb8e-3001-8a44-fba403b7adde"/>
    <n v="17474562735"/>
    <s v="03B7ADDE"/>
    <s v="4aef3476-ee2d-49a8-ac42-a307b636cb5d"/>
    <s v="2c6276a2-ef70-4e62-8202-579a88bf3dd3"/>
    <s v="Marketplace"/>
    <s v="NULL"/>
    <x v="1"/>
    <s v="USD"/>
    <n v="25.56"/>
    <n v="2.04"/>
    <n v="0"/>
    <n v="-3.83"/>
    <n v="-0.1"/>
    <n v="0"/>
    <n v="0"/>
    <n v="0"/>
    <n v="0"/>
    <n v="0"/>
    <n v="0"/>
    <n v="0"/>
    <n v="0"/>
    <n v="0"/>
    <n v="23.67"/>
    <n v="0"/>
    <n v="0"/>
    <n v="25.56"/>
    <n v="0"/>
    <n v="0"/>
    <n v="587195435"/>
  </r>
  <r>
    <d v="2026-06-14T21:06:56"/>
    <d v="2026-06-14T00:00:00"/>
    <d v="2026-06-14T16:06:56"/>
    <d v="2026-06-14T00:00:00"/>
    <d v="2026-06-14T15:50:38"/>
    <d v="2026-06-14T16:06:55"/>
    <d v="2026-06-18T10:27:37"/>
    <d v="2026-06-18T00:00:00"/>
    <n v="11717"/>
    <s v="Country Burger"/>
    <n v="241736"/>
    <s v="Country Burger (Murphy Rd)"/>
    <s v="NULL"/>
    <s v="Order"/>
    <s v="044a5539-3ccf-3001-8f4e-0e14b4456b3a"/>
    <n v="17473411189"/>
    <s v="B4456B3A"/>
    <s v="dfa9f14b-12bc-4e91-abe2-c346bb42bac0"/>
    <s v="6679ae6d-e5c5-406e-adc9-0bff4f58c217"/>
    <s v="Marketplace"/>
    <s v="NULL"/>
    <x v="1"/>
    <s v="USD"/>
    <n v="18.98"/>
    <n v="1.52"/>
    <n v="0"/>
    <n v="-2.85"/>
    <n v="-7.0000000000000007E-2"/>
    <n v="0"/>
    <n v="0"/>
    <n v="0"/>
    <n v="0"/>
    <n v="0"/>
    <n v="0"/>
    <n v="0"/>
    <n v="0"/>
    <n v="0"/>
    <n v="17.579999999999998"/>
    <n v="0"/>
    <n v="0"/>
    <n v="18.98"/>
    <n v="0"/>
    <n v="0"/>
    <n v="587195435"/>
  </r>
  <r>
    <d v="2026-06-14T20:53:18"/>
    <d v="2026-06-14T00:00:00"/>
    <d v="2026-06-14T15:53:18"/>
    <d v="2026-06-14T00:00:00"/>
    <d v="2026-06-14T15:29:17"/>
    <d v="2026-06-14T15:53:17"/>
    <d v="2026-06-18T10:27:37"/>
    <d v="2026-06-18T00:00:00"/>
    <n v="11717"/>
    <s v="Country Burger"/>
    <n v="241736"/>
    <s v="Country Burger (Murphy Rd)"/>
    <s v="NULL"/>
    <s v="Order"/>
    <s v="0b44afba-8688-3001-8678-0afdbc949487"/>
    <n v="17473252061"/>
    <s v="BC949487"/>
    <s v="9585c727-6a4a-4713-8a39-09f1c1fb3cfa"/>
    <s v="90216f3a-d808-4b4e-aa60-34225c60fb13"/>
    <s v="Marketplace"/>
    <s v="NULL"/>
    <x v="1"/>
    <s v="USD"/>
    <n v="23.07"/>
    <n v="1.85"/>
    <n v="0"/>
    <n v="-3.46"/>
    <n v="-0.09"/>
    <n v="0"/>
    <n v="0"/>
    <n v="0"/>
    <n v="-4.99"/>
    <n v="0"/>
    <n v="4.99"/>
    <n v="0"/>
    <n v="0"/>
    <n v="0"/>
    <n v="21.37"/>
    <n v="0"/>
    <n v="0"/>
    <n v="23.07"/>
    <n v="0"/>
    <n v="0"/>
    <n v="587195435"/>
  </r>
  <r>
    <d v="2026-06-14T20:19:50"/>
    <d v="2026-06-14T00:00:00"/>
    <d v="2026-06-14T15:19:50"/>
    <d v="2026-06-14T00:00:00"/>
    <d v="2026-06-14T15:07:07"/>
    <d v="2026-06-14T15:19:48"/>
    <d v="2026-06-18T10:27:37"/>
    <d v="2026-06-18T00:00:00"/>
    <n v="11717"/>
    <s v="Country Burger"/>
    <n v="241736"/>
    <s v="Country Burger (Murphy Rd)"/>
    <s v="NULL"/>
    <s v="Order"/>
    <s v="746c9b40-7ea7-3001-9cc8-275a4a98fd65"/>
    <n v="17472880720"/>
    <s v="4A98FD65"/>
    <s v="c05ce8d1-1af5-426c-bd68-50dd1f7acedd"/>
    <s v="d1bc37e5-1e63-4fbb-aee5-7fcdeaee8494"/>
    <s v="Marketplace"/>
    <s v="NULL"/>
    <x v="1"/>
    <s v="USD"/>
    <n v="42.95"/>
    <n v="2.75"/>
    <n v="0"/>
    <n v="-6.44"/>
    <n v="-0.17"/>
    <n v="0"/>
    <n v="0"/>
    <n v="0"/>
    <n v="-8.59"/>
    <n v="0"/>
    <n v="8.59"/>
    <n v="0"/>
    <n v="0"/>
    <n v="0"/>
    <n v="39.090000000000003"/>
    <n v="0"/>
    <n v="0"/>
    <n v="34.36"/>
    <n v="0"/>
    <n v="0"/>
    <n v="587195435"/>
  </r>
  <r>
    <d v="2026-06-14T17:58:00"/>
    <d v="2026-06-14T00:00:00"/>
    <d v="2026-06-14T12:58:00"/>
    <d v="2026-06-14T00:00:00"/>
    <d v="2026-06-14T12:46:29"/>
    <d v="2026-06-14T12:57:58"/>
    <d v="2026-06-18T10:27:37"/>
    <d v="2026-06-18T00:00:00"/>
    <n v="11717"/>
    <s v="Country Burger"/>
    <n v="241736"/>
    <s v="Country Burger (Murphy Rd)"/>
    <s v="NULL"/>
    <s v="Order"/>
    <s v="a66e7597-e0db-3001-a021-5748a99fd8a2"/>
    <n v="17471386894"/>
    <s v="A99FD8A2"/>
    <s v="740d924f-de78-4b2a-9cdd-4b8dab5d938c"/>
    <s v="42ad2af0-11da-4595-bdea-116a0436e61f"/>
    <s v="Marketplace"/>
    <s v="NULL"/>
    <x v="1"/>
    <s v="USD"/>
    <n v="19.97"/>
    <n v="1.6"/>
    <n v="0"/>
    <n v="-3"/>
    <n v="-0.08"/>
    <n v="0"/>
    <n v="0"/>
    <n v="0"/>
    <n v="0"/>
    <n v="0"/>
    <n v="0"/>
    <n v="0"/>
    <n v="0"/>
    <n v="0"/>
    <n v="18.489999999999998"/>
    <n v="0"/>
    <n v="0"/>
    <n v="19.97"/>
    <n v="0"/>
    <n v="0"/>
    <n v="587195435"/>
  </r>
  <r>
    <d v="2026-06-14T16:05:25"/>
    <d v="2026-06-14T00:00:00"/>
    <d v="2026-06-14T11:05:25"/>
    <d v="2026-06-14T00:00:00"/>
    <d v="2026-06-14T10:53:28"/>
    <d v="2026-06-14T11:05:24"/>
    <d v="2026-06-18T10:27:37"/>
    <d v="2026-06-18T00:00:00"/>
    <n v="11717"/>
    <s v="Country Burger"/>
    <n v="241736"/>
    <s v="Country Burger (Murphy Rd)"/>
    <s v="NULL"/>
    <s v="Order"/>
    <s v="dca47167-ac07-3001-8e0b-88731180ac31"/>
    <n v="17470343350"/>
    <s v="1180AC31"/>
    <s v="a3b978b4-f222-470a-90c5-4716d9b9071a"/>
    <s v="45a03eb7-058b-4e51-9a58-f1496a923397"/>
    <s v="Marketplace"/>
    <s v="NULL"/>
    <x v="1"/>
    <s v="USD"/>
    <n v="18.98"/>
    <n v="1.52"/>
    <n v="0"/>
    <n v="-2.85"/>
    <n v="-7.0000000000000007E-2"/>
    <n v="0"/>
    <n v="0"/>
    <n v="0"/>
    <n v="0"/>
    <n v="0"/>
    <n v="0"/>
    <n v="0"/>
    <n v="0"/>
    <n v="0"/>
    <n v="17.579999999999998"/>
    <n v="0"/>
    <n v="0"/>
    <n v="18.98"/>
    <n v="0"/>
    <n v="0"/>
    <n v="587195435"/>
  </r>
  <r>
    <d v="2026-06-14T02:02:58"/>
    <d v="2026-06-14T00:00:00"/>
    <d v="2026-06-13T21:02:58"/>
    <d v="2026-06-13T00:00:00"/>
    <d v="2026-06-13T19:23:40"/>
    <d v="2026-06-13T21:02:57"/>
    <d v="2026-06-18T10:27:37"/>
    <d v="2026-06-18T00:00:00"/>
    <n v="11717"/>
    <s v="Country Burger"/>
    <n v="241736"/>
    <s v="Country Burger (Murphy Rd)"/>
    <s v="NULL"/>
    <s v="Order"/>
    <s v="0c91fa9f-a8a8-3001-a2d7-9990ba9b85ac"/>
    <n v="17466101971"/>
    <s v="BA9B85AC"/>
    <s v="89b29955-a573-4def-86d9-9196fdde1a5e"/>
    <s v="e88eeeae-8b51-4ca6-a87f-b2a3a1189469"/>
    <s v="Marketplace"/>
    <s v="NULL"/>
    <x v="0"/>
    <s v="USD"/>
    <n v="42.93"/>
    <n v="3.43"/>
    <n v="0"/>
    <n v="-2.58"/>
    <n v="-0.17"/>
    <n v="0"/>
    <n v="0"/>
    <n v="0"/>
    <n v="0"/>
    <n v="0"/>
    <n v="0"/>
    <n v="0"/>
    <n v="0"/>
    <n v="0"/>
    <n v="43.61"/>
    <n v="0"/>
    <n v="0"/>
    <n v="42.93"/>
    <n v="0"/>
    <n v="0"/>
    <n v="587195435"/>
  </r>
  <r>
    <d v="2026-06-14T01:21:30"/>
    <d v="2026-06-14T00:00:00"/>
    <d v="2026-06-13T20:21:30"/>
    <d v="2026-06-13T00:00:00"/>
    <d v="2026-06-13T19:47:03"/>
    <d v="2026-06-13T20:21:29"/>
    <d v="2026-06-18T10:27:37"/>
    <d v="2026-06-18T00:00:00"/>
    <n v="11717"/>
    <s v="Country Burger"/>
    <n v="241736"/>
    <s v="Country Burger (Murphy Rd)"/>
    <s v="NULL"/>
    <s v="Order"/>
    <s v="a6857cdc-859d-3001-ae2e-fe6d50ffd863"/>
    <n v="17465508157"/>
    <s v="50FFD863"/>
    <s v="7c743602-5095-49a6-9f8c-5400ddae5b71"/>
    <s v="f4f49732-d9e6-48f1-ad7b-ac2b2340176d"/>
    <s v="Marketplace"/>
    <s v="NULL"/>
    <x v="1"/>
    <s v="USD"/>
    <n v="8.75"/>
    <n v="0.7"/>
    <n v="0"/>
    <n v="-1.31"/>
    <n v="-0.03"/>
    <n v="0"/>
    <n v="0"/>
    <n v="0"/>
    <n v="0"/>
    <n v="0"/>
    <n v="0"/>
    <n v="0"/>
    <n v="0"/>
    <n v="0"/>
    <n v="8.11"/>
    <n v="0"/>
    <n v="0"/>
    <n v="8.75"/>
    <n v="0"/>
    <n v="0"/>
    <n v="587195435"/>
  </r>
  <r>
    <d v="2026-06-13T23:35:30"/>
    <d v="2026-06-13T00:00:00"/>
    <d v="2026-06-13T18:35:30"/>
    <d v="2026-06-13T00:00:00"/>
    <d v="2026-06-13T18:16:17"/>
    <d v="2026-06-13T18:35:29"/>
    <d v="2026-06-18T10:27:37"/>
    <d v="2026-06-18T00:00:00"/>
    <n v="11717"/>
    <s v="Country Burger"/>
    <n v="241736"/>
    <s v="Country Burger (Murphy Rd)"/>
    <s v="NULL"/>
    <s v="Order"/>
    <s v="d2546f78-0f39-3001-bdc2-56ff364a7dec"/>
    <n v="17463897139"/>
    <s v="364A7DEC"/>
    <s v="6e4fd737-007a-4dc6-bbc8-0474585b5aa1"/>
    <s v="93c5c5be-5132-4f33-b2de-421d5fa666a8"/>
    <s v="Marketplace"/>
    <s v="NULL"/>
    <x v="1"/>
    <s v="USD"/>
    <n v="47.06"/>
    <n v="3.76"/>
    <n v="0"/>
    <n v="-7.06"/>
    <n v="-0.19"/>
    <n v="0"/>
    <n v="0"/>
    <n v="0"/>
    <n v="0"/>
    <n v="0"/>
    <n v="0"/>
    <n v="0"/>
    <n v="0"/>
    <n v="0"/>
    <n v="43.57"/>
    <n v="0"/>
    <n v="0"/>
    <n v="47.06"/>
    <n v="0"/>
    <n v="0"/>
    <n v="587195435"/>
  </r>
  <r>
    <d v="2026-06-13T22:35:03"/>
    <d v="2026-06-13T00:00:00"/>
    <d v="2026-06-13T17:35:03"/>
    <d v="2026-06-13T00:00:00"/>
    <d v="2026-06-13T17:26:30"/>
    <d v="2026-06-13T17:35:01"/>
    <d v="2026-06-18T10:27:37"/>
    <d v="2026-06-18T00:00:00"/>
    <n v="11717"/>
    <s v="Country Burger"/>
    <n v="241736"/>
    <s v="Country Burger (Murphy Rd)"/>
    <s v="NULL"/>
    <s v="Order"/>
    <s v="9a0ab9e7-da29-3001-8e3b-b52a27f04919"/>
    <n v="17463030207"/>
    <s v="27F04919"/>
    <s v="c415115d-260e-4461-91ba-9010292f9f66"/>
    <s v="a85e499e-0ef1-4c8c-960c-15f55e9db160"/>
    <s v="Marketplace"/>
    <s v="NULL"/>
    <x v="1"/>
    <s v="USD"/>
    <n v="26.18"/>
    <n v="2.09"/>
    <n v="0"/>
    <n v="-3.93"/>
    <n v="-0.1"/>
    <n v="0"/>
    <n v="0"/>
    <n v="0"/>
    <n v="0"/>
    <n v="0"/>
    <n v="0"/>
    <n v="0"/>
    <n v="0"/>
    <n v="0"/>
    <n v="24.24"/>
    <n v="0"/>
    <n v="0"/>
    <n v="26.18"/>
    <n v="0"/>
    <n v="0"/>
    <n v="587195435"/>
  </r>
  <r>
    <d v="2026-06-13T02:15:08"/>
    <d v="2026-06-13T00:00:00"/>
    <d v="2026-06-12T21:15:08"/>
    <d v="2026-06-12T00:00:00"/>
    <d v="2026-06-12T19:34:41"/>
    <d v="2026-06-12T21:15:07"/>
    <d v="2026-06-18T10:27:37"/>
    <d v="2026-06-18T00:00:00"/>
    <n v="11717"/>
    <s v="Country Burger"/>
    <n v="241736"/>
    <s v="Country Burger (Murphy Rd)"/>
    <s v="NULL"/>
    <s v="Order"/>
    <s v="55c57fe6-8e9c-3001-8595-738241354b79"/>
    <n v="17454602377"/>
    <s v="41354B79"/>
    <s v="4fc2f5dd-1d1f-46a3-8bd4-e3e470c7bc51"/>
    <s v="a8f74e97-c5ef-4ee1-ac3f-7086a8034c1f"/>
    <s v="Marketplace"/>
    <s v="NULL"/>
    <x v="0"/>
    <s v="USD"/>
    <n v="26.44"/>
    <n v="2.12"/>
    <n v="0"/>
    <n v="-1.59"/>
    <n v="-0.1"/>
    <n v="0"/>
    <n v="0"/>
    <n v="0"/>
    <n v="0"/>
    <n v="0"/>
    <n v="0"/>
    <n v="0"/>
    <n v="0"/>
    <n v="0"/>
    <n v="26.87"/>
    <n v="0"/>
    <n v="0"/>
    <n v="26.44"/>
    <n v="0"/>
    <n v="0"/>
    <n v="587195435"/>
  </r>
  <r>
    <d v="2026-06-13T00:38:45"/>
    <d v="2026-06-13T00:00:00"/>
    <d v="2026-06-12T19:38:45"/>
    <d v="2026-06-12T00:00:00"/>
    <d v="2026-06-12T19:14:38"/>
    <d v="2026-06-12T19:38:43"/>
    <d v="2026-06-18T10:27:37"/>
    <d v="2026-06-18T00:00:00"/>
    <n v="11717"/>
    <s v="Country Burger"/>
    <n v="241736"/>
    <s v="Country Burger (Murphy Rd)"/>
    <s v="NULL"/>
    <s v="Order"/>
    <s v="2f514030-b2c6-3001-887b-90b7045e41c8"/>
    <n v="17453057258"/>
    <s v="045E41C8"/>
    <s v="97814ed4-0d22-41c0-a648-9962ac032d98"/>
    <s v="789df80e-213c-4505-92c7-eaf92e9a8aed"/>
    <s v="Marketplace"/>
    <s v="NULL"/>
    <x v="1"/>
    <s v="USD"/>
    <n v="21.58"/>
    <n v="1.0900000000000001"/>
    <n v="0"/>
    <n v="-2.04"/>
    <n v="-0.05"/>
    <n v="0"/>
    <n v="0"/>
    <n v="-8"/>
    <n v="0"/>
    <n v="0"/>
    <n v="0"/>
    <n v="0"/>
    <n v="0"/>
    <n v="0"/>
    <n v="12.58"/>
    <n v="0"/>
    <n v="0"/>
    <n v="13.58"/>
    <n v="0"/>
    <n v="0"/>
    <n v="587195435"/>
  </r>
  <r>
    <d v="2026-06-12T23:56:17"/>
    <d v="2026-06-12T00:00:00"/>
    <d v="2026-06-12T18:56:17"/>
    <d v="2026-06-12T00:00:00"/>
    <d v="2026-06-12T18:37:49"/>
    <d v="2026-06-12T18:56:16"/>
    <d v="2026-06-18T10:27:37"/>
    <d v="2026-06-18T00:00:00"/>
    <n v="11717"/>
    <s v="Country Burger"/>
    <n v="241736"/>
    <s v="Country Burger (Murphy Rd)"/>
    <s v="NULL"/>
    <s v="Order"/>
    <s v="11f57072-d124-3001-89ce-ff61aa3e28a2"/>
    <n v="17452328326"/>
    <s v="AA3E28A2"/>
    <s v="ca2349e2-0006-4d94-a16a-b930b1478761"/>
    <s v="9c5f2c82-67cf-4c14-bbfa-f13c237ea8d7"/>
    <s v="Marketplace"/>
    <s v="NULL"/>
    <x v="1"/>
    <s v="USD"/>
    <n v="30.54"/>
    <n v="2.44"/>
    <n v="0"/>
    <n v="-4.58"/>
    <n v="-0.12"/>
    <n v="0"/>
    <n v="0"/>
    <n v="0"/>
    <n v="0"/>
    <n v="0"/>
    <n v="0"/>
    <n v="0"/>
    <n v="0"/>
    <n v="0"/>
    <n v="28.28"/>
    <n v="0"/>
    <n v="0"/>
    <n v="30.54"/>
    <n v="0"/>
    <n v="0"/>
    <n v="587195435"/>
  </r>
  <r>
    <d v="2026-06-12T23:53:54"/>
    <d v="2026-06-12T00:00:00"/>
    <d v="2026-06-12T18:53:54"/>
    <d v="2026-06-12T00:00:00"/>
    <d v="2026-06-12T18:32:10"/>
    <d v="2026-06-12T18:53:53"/>
    <d v="2026-06-18T10:27:37"/>
    <d v="2026-06-18T00:00:00"/>
    <n v="11717"/>
    <s v="Country Burger"/>
    <n v="241736"/>
    <s v="Country Burger (Murphy Rd)"/>
    <s v="NULL"/>
    <s v="Order"/>
    <s v="1254afa7-e9ad-3001-964b-4fd4514e046f"/>
    <n v="17452288728"/>
    <s v="514E046F"/>
    <s v="5fe2e4ee-ddc5-45b9-a5dd-a30eb199073c"/>
    <s v="dc8ece10-70f9-421c-998e-78a40c716211"/>
    <s v="Marketplace"/>
    <s v="NULL"/>
    <x v="1"/>
    <s v="USD"/>
    <n v="21.17"/>
    <n v="1.05"/>
    <n v="0"/>
    <n v="-1.98"/>
    <n v="-0.05"/>
    <n v="0"/>
    <n v="0"/>
    <n v="-8"/>
    <n v="0"/>
    <n v="0"/>
    <n v="0"/>
    <n v="0"/>
    <n v="0"/>
    <n v="0"/>
    <n v="12.19"/>
    <n v="0"/>
    <n v="0"/>
    <n v="13.17"/>
    <n v="0"/>
    <n v="0"/>
    <n v="587195435"/>
  </r>
  <r>
    <d v="2026-06-12T22:52:25"/>
    <d v="2026-06-12T00:00:00"/>
    <d v="2026-06-12T17:52:25"/>
    <d v="2026-06-12T00:00:00"/>
    <d v="2026-06-12T17:39:28"/>
    <d v="2026-06-12T17:52:24"/>
    <d v="2026-06-18T10:27:37"/>
    <d v="2026-06-18T00:00:00"/>
    <n v="11717"/>
    <s v="Country Burger"/>
    <n v="241736"/>
    <s v="Country Burger (Murphy Rd)"/>
    <s v="NULL"/>
    <s v="Order"/>
    <s v="4ca3f32f-f684-3001-b02c-03f5104e6f49"/>
    <n v="17451294437"/>
    <s v="104E6F49"/>
    <s v="fe30d7e1-455a-49a6-9c53-cbe5735a67da"/>
    <s v="e453e13e-574c-4131-acb6-b33c9a4e0d90"/>
    <s v="Marketplace"/>
    <s v="NULL"/>
    <x v="1"/>
    <s v="USD"/>
    <n v="10.5"/>
    <n v="0.2"/>
    <n v="0"/>
    <n v="-0.38"/>
    <n v="-0.01"/>
    <n v="0"/>
    <n v="0"/>
    <n v="-8"/>
    <n v="0"/>
    <n v="0"/>
    <n v="0"/>
    <n v="0"/>
    <n v="0"/>
    <n v="0"/>
    <n v="2.31"/>
    <n v="0"/>
    <n v="0"/>
    <n v="2.5"/>
    <n v="0"/>
    <n v="0"/>
    <n v="587195435"/>
  </r>
  <r>
    <d v="2026-06-12T21:34:04"/>
    <d v="2026-06-12T00:00:00"/>
    <d v="2026-06-12T16:34:04"/>
    <d v="2026-06-12T00:00:00"/>
    <d v="2026-06-12T14:59:07"/>
    <d v="2026-06-12T16:34:03"/>
    <d v="2026-06-18T10:27:37"/>
    <d v="2026-06-18T00:00:00"/>
    <n v="11717"/>
    <s v="Country Burger"/>
    <n v="241736"/>
    <s v="Country Burger (Murphy Rd)"/>
    <s v="NULL"/>
    <s v="Order"/>
    <s v="9c00d522-d0b9-3001-bf9a-169eb0020b52"/>
    <n v="17450203191"/>
    <s v="B0020B52"/>
    <s v="24ce8acc-5aaf-4431-bb67-5d852c427d23"/>
    <s v="d120621b-10cf-41ab-84b3-d59c32307770"/>
    <s v="Marketplace"/>
    <s v="NULL"/>
    <x v="0"/>
    <s v="USD"/>
    <n v="47.94"/>
    <n v="3.84"/>
    <n v="0"/>
    <n v="-2.88"/>
    <n v="-0.19"/>
    <n v="0"/>
    <n v="0"/>
    <n v="0"/>
    <n v="0"/>
    <n v="0"/>
    <n v="0"/>
    <n v="0"/>
    <n v="0"/>
    <n v="0"/>
    <n v="48.71"/>
    <n v="0"/>
    <n v="0"/>
    <n v="47.94"/>
    <n v="0"/>
    <n v="0"/>
    <n v="587195435"/>
  </r>
  <r>
    <d v="2026-06-12T20:41:06"/>
    <d v="2026-06-12T00:00:00"/>
    <d v="2026-06-12T15:41:06"/>
    <d v="2026-06-12T00:00:00"/>
    <d v="2026-06-12T15:26:35"/>
    <d v="2026-06-12T15:41:05"/>
    <d v="2026-06-18T10:27:37"/>
    <d v="2026-06-18T00:00:00"/>
    <n v="11717"/>
    <s v="Country Burger"/>
    <n v="241736"/>
    <s v="Country Burger (Murphy Rd)"/>
    <s v="NULL"/>
    <s v="Order"/>
    <s v="b78a6477-93f7-3001-bd17-ab40595ab246"/>
    <n v="17449593999"/>
    <s v="595AB246"/>
    <s v="b8978d44-3bf9-4956-a4b4-256ff4a38af8"/>
    <s v="75c63f69-e18b-425c-91d9-6c738ea17a08"/>
    <s v="Marketplace"/>
    <s v="NULL"/>
    <x v="1"/>
    <s v="USD"/>
    <n v="22.97"/>
    <n v="1.84"/>
    <n v="0"/>
    <n v="-3.45"/>
    <n v="-0.09"/>
    <n v="0"/>
    <n v="0"/>
    <n v="0"/>
    <n v="0"/>
    <n v="0"/>
    <n v="0"/>
    <n v="0"/>
    <n v="0"/>
    <n v="0"/>
    <n v="21.27"/>
    <n v="0"/>
    <n v="0"/>
    <n v="22.97"/>
    <n v="0"/>
    <n v="0"/>
    <n v="587195435"/>
  </r>
  <r>
    <d v="2026-06-12T00:44:25"/>
    <d v="2026-06-12T00:00:00"/>
    <d v="2026-06-11T19:44:25"/>
    <d v="2026-06-11T00:00:00"/>
    <d v="2026-06-11T19:30:20"/>
    <d v="2026-06-11T19:44:23"/>
    <d v="2026-06-18T10:27:37"/>
    <d v="2026-06-18T00:00:00"/>
    <n v="11717"/>
    <s v="Country Burger"/>
    <n v="241736"/>
    <s v="Country Burger (Murphy Rd)"/>
    <s v="NULL"/>
    <s v="Order"/>
    <s v="2801e490-5002-3001-bef8-55cee6e27fcc"/>
    <n v="17441267262"/>
    <s v="E6E27FCC"/>
    <s v="3f48374c-712a-4646-be97-589c96982167"/>
    <s v="09767fb6-ae1b-46fc-bc47-e4bd58c960be"/>
    <s v="Marketplace"/>
    <s v="NULL"/>
    <x v="1"/>
    <s v="USD"/>
    <n v="8.75"/>
    <n v="0.7"/>
    <n v="0"/>
    <n v="-1.31"/>
    <n v="-0.03"/>
    <n v="0"/>
    <n v="0"/>
    <n v="0"/>
    <n v="0"/>
    <n v="0"/>
    <n v="0"/>
    <n v="0"/>
    <n v="0"/>
    <n v="0"/>
    <n v="8.11"/>
    <n v="0"/>
    <n v="0"/>
    <n v="8.75"/>
    <n v="0"/>
    <n v="0"/>
    <n v="587195435"/>
  </r>
  <r>
    <d v="2026-06-12T00:43:17"/>
    <d v="2026-06-12T00:00:00"/>
    <d v="2026-06-11T19:43:17"/>
    <d v="2026-06-11T00:00:00"/>
    <d v="2026-06-11T19:29:16"/>
    <d v="2026-06-11T19:43:15"/>
    <d v="2026-06-18T10:27:37"/>
    <d v="2026-06-18T00:00:00"/>
    <n v="11717"/>
    <s v="Country Burger"/>
    <n v="241736"/>
    <s v="Country Burger (Murphy Rd)"/>
    <s v="NULL"/>
    <s v="Order"/>
    <s v="81af31c0-34ca-3001-9b6d-d6cd85b3f93d"/>
    <n v="17441249968"/>
    <s v="85B3F93D"/>
    <s v="77a3c1b5-7cdf-453d-b52f-9fc94541152a"/>
    <s v="daec9713-c838-4708-af11-18fb4d594c9b"/>
    <s v="Marketplace"/>
    <s v="NULL"/>
    <x v="1"/>
    <s v="USD"/>
    <n v="48.92"/>
    <n v="3.91"/>
    <n v="0"/>
    <n v="-7.34"/>
    <n v="-0.19"/>
    <n v="0"/>
    <n v="0"/>
    <n v="0"/>
    <n v="-1"/>
    <n v="0"/>
    <n v="1"/>
    <n v="0"/>
    <n v="0"/>
    <n v="0"/>
    <n v="45.3"/>
    <n v="0"/>
    <n v="0"/>
    <n v="48.92"/>
    <n v="0"/>
    <n v="0"/>
    <n v="587195435"/>
  </r>
  <r>
    <d v="2026-06-12T00:10:31"/>
    <d v="2026-06-12T00:00:00"/>
    <d v="2026-06-11T19:10:31"/>
    <d v="2026-06-11T00:00:00"/>
    <d v="2026-06-11T18:54:21"/>
    <d v="2026-06-11T19:10:30"/>
    <d v="2026-06-18T10:27:37"/>
    <d v="2026-06-18T00:00:00"/>
    <n v="11717"/>
    <s v="Country Burger"/>
    <n v="241736"/>
    <s v="Country Burger (Murphy Rd)"/>
    <s v="NULL"/>
    <s v="Order"/>
    <s v="2b6ad7f0-3e32-3001-96bf-a21e06b346ff"/>
    <n v="17440732029"/>
    <s v="06B346FF"/>
    <s v="d18aa3a1-f3b2-44fd-bc76-ddb5d5949654"/>
    <s v="8c801737-e720-49df-a2de-198f3d70b6f8"/>
    <s v="Marketplace"/>
    <s v="NULL"/>
    <x v="1"/>
    <s v="USD"/>
    <n v="14.09"/>
    <n v="1.1299999999999999"/>
    <n v="0"/>
    <n v="-2.11"/>
    <n v="-0.06"/>
    <n v="0"/>
    <n v="0"/>
    <n v="0"/>
    <n v="0"/>
    <n v="0"/>
    <n v="0"/>
    <n v="0"/>
    <n v="0"/>
    <n v="0"/>
    <n v="13.05"/>
    <n v="0"/>
    <n v="0"/>
    <n v="14.09"/>
    <n v="0"/>
    <n v="0"/>
    <n v="587195435"/>
  </r>
  <r>
    <d v="2026-06-11T23:05:19"/>
    <d v="2026-06-11T00:00:00"/>
    <d v="2026-06-11T18:05:19"/>
    <d v="2026-06-11T00:00:00"/>
    <d v="2026-06-11T17:54:04"/>
    <d v="2026-06-11T18:05:18"/>
    <d v="2026-06-18T10:27:37"/>
    <d v="2026-06-18T00:00:00"/>
    <n v="11717"/>
    <s v="Country Burger"/>
    <n v="241736"/>
    <s v="Country Burger (Murphy Rd)"/>
    <s v="NULL"/>
    <s v="Order"/>
    <s v="bc5d24b2-3731-3001-a248-f5ece0248a64"/>
    <n v="17439731569"/>
    <s v="E0248A64"/>
    <s v="d7b6555a-41cd-4055-a630-b6935c4615f6"/>
    <s v="a0389668-3bc2-4130-9339-763116369922"/>
    <s v="Marketplace"/>
    <s v="NULL"/>
    <x v="1"/>
    <s v="USD"/>
    <n v="19.48"/>
    <n v="1.56"/>
    <n v="0"/>
    <n v="-2.92"/>
    <n v="-0.08"/>
    <n v="0"/>
    <n v="0"/>
    <n v="0"/>
    <n v="0"/>
    <n v="0"/>
    <n v="0"/>
    <n v="0"/>
    <n v="0"/>
    <n v="0"/>
    <n v="18.04"/>
    <n v="0"/>
    <n v="0"/>
    <n v="19.48"/>
    <n v="0"/>
    <n v="0"/>
    <n v="587195435"/>
  </r>
  <r>
    <d v="2026-06-11T19:05:01"/>
    <d v="2026-06-11T00:00:00"/>
    <d v="2026-06-11T14:05:01"/>
    <d v="2026-06-11T00:00:00"/>
    <d v="2026-06-11T13:36:19"/>
    <d v="2026-06-11T14:05:00"/>
    <d v="2026-06-18T10:27:37"/>
    <d v="2026-06-18T00:00:00"/>
    <n v="11717"/>
    <s v="Country Burger"/>
    <n v="241736"/>
    <s v="Country Burger (Murphy Rd)"/>
    <s v="NULL"/>
    <s v="Order"/>
    <s v="fcc945a9-6051-3001-9317-065e5e7163f7"/>
    <n v="17436984043"/>
    <s v="5E7163F7"/>
    <s v="58bd8cde-58c3-482d-9c6b-8efe8d00fe55"/>
    <s v="77690b86-d229-4ce4-98fb-41b16c801ceb"/>
    <s v="Marketplace"/>
    <s v="NULL"/>
    <x v="0"/>
    <s v="USD"/>
    <n v="42.2"/>
    <n v="3.38"/>
    <n v="0"/>
    <n v="-2.5299999999999998"/>
    <n v="-0.17"/>
    <n v="0"/>
    <n v="0"/>
    <n v="0"/>
    <n v="0"/>
    <n v="0"/>
    <n v="0"/>
    <n v="0"/>
    <n v="0"/>
    <n v="0"/>
    <n v="42.88"/>
    <n v="0"/>
    <n v="0"/>
    <n v="42.2"/>
    <n v="0"/>
    <n v="0"/>
    <n v="587195435"/>
  </r>
  <r>
    <d v="2026-06-11T16:24:40"/>
    <d v="2026-06-11T00:00:00"/>
    <d v="2026-06-11T11:24:40"/>
    <d v="2026-06-11T00:00:00"/>
    <d v="2026-06-11T11:17:11"/>
    <d v="2026-06-11T11:24:39"/>
    <d v="2026-06-18T10:27:37"/>
    <d v="2026-06-18T00:00:00"/>
    <n v="11717"/>
    <s v="Country Burger"/>
    <n v="241736"/>
    <s v="Country Burger (Murphy Rd)"/>
    <s v="NULL"/>
    <s v="Order"/>
    <s v="0015328d-5419-3001-839f-c275b61550f6"/>
    <n v="17435184513"/>
    <s v="B61550F6"/>
    <s v="c5ba1a39-8d61-4444-8685-596298f60ba9"/>
    <s v="f9844ea6-0fc3-4069-b895-d510b136625f"/>
    <s v="Marketplace"/>
    <s v="NULL"/>
    <x v="1"/>
    <s v="USD"/>
    <n v="18.89"/>
    <n v="1.51"/>
    <n v="0"/>
    <n v="-2.83"/>
    <n v="-7.0000000000000007E-2"/>
    <n v="0"/>
    <n v="0"/>
    <n v="0"/>
    <n v="0"/>
    <n v="0"/>
    <n v="0"/>
    <n v="0"/>
    <n v="0"/>
    <n v="0"/>
    <n v="17.5"/>
    <n v="0"/>
    <n v="0"/>
    <n v="18.89"/>
    <n v="0"/>
    <n v="0"/>
    <n v="587195435"/>
  </r>
  <r>
    <d v="2026-06-11T16:11:46"/>
    <d v="2026-06-11T00:00:00"/>
    <d v="2026-06-11T11:11:46"/>
    <d v="2026-06-11T00:00:00"/>
    <d v="2026-06-11T10:54:20"/>
    <d v="2026-06-11T11:11:45"/>
    <d v="2026-06-18T10:27:37"/>
    <d v="2026-06-18T00:00:00"/>
    <n v="11717"/>
    <s v="Country Burger"/>
    <n v="241736"/>
    <s v="Country Burger (Murphy Rd)"/>
    <s v="NULL"/>
    <s v="Order"/>
    <s v="74476a2f-4cdd-3001-84b4-12e8972ff1e0"/>
    <n v="17435048427"/>
    <s v="972FF1E0"/>
    <s v="7119ecc4-3e11-4613-a211-ebc4108b8195"/>
    <s v="1d2861af-5e4a-481c-99ee-47f8d3b4c7bb"/>
    <s v="Marketplace"/>
    <s v="NULL"/>
    <x v="1"/>
    <s v="USD"/>
    <n v="16.18"/>
    <n v="1.29"/>
    <n v="0"/>
    <n v="-2.4300000000000002"/>
    <n v="-0.06"/>
    <n v="0"/>
    <n v="0"/>
    <n v="0"/>
    <n v="0"/>
    <n v="0"/>
    <n v="0"/>
    <n v="0"/>
    <n v="0"/>
    <n v="0"/>
    <n v="14.98"/>
    <n v="0"/>
    <n v="0"/>
    <n v="16.18"/>
    <n v="0"/>
    <n v="0"/>
    <n v="587195435"/>
  </r>
  <r>
    <d v="2026-06-10T22:59:28"/>
    <d v="2026-06-10T00:00:00"/>
    <d v="2026-06-10T17:59:28"/>
    <d v="2026-06-10T00:00:00"/>
    <d v="2026-06-10T17:48:20"/>
    <d v="2026-06-10T17:59:26"/>
    <d v="2026-06-18T10:27:37"/>
    <d v="2026-06-18T00:00:00"/>
    <n v="11717"/>
    <s v="Country Burger"/>
    <n v="241736"/>
    <s v="Country Burger (Murphy Rd)"/>
    <s v="NULL"/>
    <s v="Order"/>
    <s v="45f57b2f-b056-3001-8569-690792bf2fed"/>
    <n v="17428435828"/>
    <s v="92BF2FED"/>
    <s v="3a6c3444-e07e-4fd2-9f7f-e4707cf33105"/>
    <s v="b903bbae-f1cc-49d8-8dc0-c5f944ac534d"/>
    <s v="Marketplace"/>
    <s v="NULL"/>
    <x v="1"/>
    <s v="USD"/>
    <n v="48.74"/>
    <n v="3.9"/>
    <n v="0"/>
    <n v="-7.31"/>
    <n v="-0.19"/>
    <n v="0"/>
    <n v="0"/>
    <n v="0"/>
    <n v="-1"/>
    <n v="0"/>
    <n v="1"/>
    <n v="0"/>
    <n v="0"/>
    <n v="0"/>
    <n v="45.14"/>
    <n v="0"/>
    <n v="0"/>
    <n v="48.74"/>
    <n v="0"/>
    <n v="0"/>
    <n v="587195435"/>
  </r>
  <r>
    <d v="2026-06-10T22:36:20"/>
    <d v="2026-06-10T00:00:00"/>
    <d v="2026-06-10T17:36:20"/>
    <d v="2026-06-10T00:00:00"/>
    <d v="2026-06-10T17:26:16"/>
    <d v="2026-06-10T17:36:19"/>
    <d v="2026-06-18T10:27:37"/>
    <d v="2026-06-18T00:00:00"/>
    <n v="11717"/>
    <s v="Country Burger"/>
    <n v="241736"/>
    <s v="Country Burger (Murphy Rd)"/>
    <s v="NULL"/>
    <s v="Order"/>
    <s v="83b7e31a-278c-3001-92e8-38765027ea53"/>
    <n v="17428120473"/>
    <s v="5027EA53"/>
    <s v="d67ca287-76f4-46cb-8ab2-2d851eefc57b"/>
    <s v="7bc44501-9340-4907-acbc-08de03a082c0"/>
    <s v="Marketplace"/>
    <s v="NULL"/>
    <x v="1"/>
    <s v="USD"/>
    <n v="23.53"/>
    <n v="1.88"/>
    <n v="0"/>
    <n v="-3.53"/>
    <n v="-0.09"/>
    <n v="0"/>
    <n v="0"/>
    <n v="0"/>
    <n v="0"/>
    <n v="0"/>
    <n v="0"/>
    <n v="0"/>
    <n v="0"/>
    <n v="0"/>
    <n v="21.79"/>
    <n v="0"/>
    <n v="0"/>
    <n v="23.53"/>
    <n v="0"/>
    <n v="0"/>
    <n v="587195435"/>
  </r>
  <r>
    <d v="2026-06-10T22:13:02"/>
    <d v="2026-06-10T00:00:00"/>
    <d v="2026-06-10T17:13:02"/>
    <d v="2026-06-10T00:00:00"/>
    <d v="2026-06-10T17:01:48"/>
    <d v="2026-06-10T17:13:01"/>
    <d v="2026-06-18T10:27:37"/>
    <d v="2026-06-18T00:00:00"/>
    <n v="11717"/>
    <s v="Country Burger"/>
    <n v="241736"/>
    <s v="Country Burger (Murphy Rd)"/>
    <s v="NULL"/>
    <s v="Order"/>
    <s v="9ed0bbf1-db63-3001-b164-92f0ee506540"/>
    <n v="17427816018"/>
    <s v="EE506540"/>
    <s v="f1d6ed85-56d8-4528-bb09-3301cdc6f972"/>
    <s v="f087ed71-7c51-471d-ae10-b0a065a5fbe8"/>
    <s v="Marketplace"/>
    <s v="NULL"/>
    <x v="1"/>
    <s v="USD"/>
    <n v="24.23"/>
    <n v="1.94"/>
    <n v="0"/>
    <n v="-3.63"/>
    <n v="-0.1"/>
    <n v="0"/>
    <n v="0"/>
    <n v="0"/>
    <n v="0"/>
    <n v="0"/>
    <n v="0"/>
    <n v="0"/>
    <n v="0"/>
    <n v="0"/>
    <n v="22.44"/>
    <n v="0"/>
    <n v="0"/>
    <n v="24.23"/>
    <n v="0"/>
    <n v="0"/>
    <n v="587195435"/>
  </r>
  <r>
    <d v="2026-06-10T21:35:12"/>
    <d v="2026-06-10T00:00:00"/>
    <d v="2026-06-10T16:35:12"/>
    <d v="2026-06-10T00:00:00"/>
    <d v="2026-06-10T16:22:30"/>
    <d v="2026-06-10T16:35:11"/>
    <d v="2026-06-18T10:27:37"/>
    <d v="2026-06-18T00:00:00"/>
    <n v="11717"/>
    <s v="Country Burger"/>
    <n v="241736"/>
    <s v="Country Burger (Murphy Rd)"/>
    <s v="NULL"/>
    <s v="Order"/>
    <s v="d2d4a7b6-d834-3001-9482-06b03b8ccabf"/>
    <n v="17427363103"/>
    <s v="3B8CCABF"/>
    <s v="b8890d52-84ca-43b1-98fd-7d9015f2a294"/>
    <s v="d8d1bf97-98c4-47f8-9a2b-d12264e2af0b"/>
    <s v="Marketplace"/>
    <s v="NULL"/>
    <x v="1"/>
    <s v="USD"/>
    <n v="33.08"/>
    <n v="2.65"/>
    <n v="0"/>
    <n v="-4.96"/>
    <n v="-0.13"/>
    <n v="0"/>
    <n v="0"/>
    <n v="0"/>
    <n v="-2.99"/>
    <n v="0"/>
    <n v="2.99"/>
    <n v="0"/>
    <n v="0"/>
    <n v="0"/>
    <n v="30.64"/>
    <n v="0"/>
    <n v="0"/>
    <n v="33.08"/>
    <n v="0"/>
    <n v="0"/>
    <n v="587195435"/>
  </r>
  <r>
    <d v="2026-06-10T17:26:36"/>
    <d v="2026-06-10T00:00:00"/>
    <d v="2026-06-10T12:26:36"/>
    <d v="2026-06-10T00:00:00"/>
    <d v="2026-06-10T12:01:12"/>
    <d v="2026-06-10T12:26:35"/>
    <d v="2026-06-18T10:27:37"/>
    <d v="2026-06-18T00:00:00"/>
    <n v="11717"/>
    <s v="Country Burger"/>
    <n v="241736"/>
    <s v="Country Burger (Murphy Rd)"/>
    <s v="NULL"/>
    <s v="Order"/>
    <s v="d6125f51-6ba8-3001-9ec0-da8c4f4f8a98"/>
    <n v="17424732874"/>
    <s v="4F4F8A98"/>
    <s v="23d633bb-2656-4a85-be13-c33774ae68fc"/>
    <s v="72972f3e-92a3-486b-ab96-aa5985cc088f"/>
    <s v="Marketplace"/>
    <s v="NULL"/>
    <x v="0"/>
    <s v="USD"/>
    <n v="54.46"/>
    <n v="4.3600000000000003"/>
    <n v="8.82"/>
    <n v="-3.27"/>
    <n v="-0.22"/>
    <n v="0"/>
    <n v="0"/>
    <n v="0"/>
    <n v="0"/>
    <n v="0"/>
    <n v="0"/>
    <n v="0"/>
    <n v="0"/>
    <n v="0"/>
    <n v="64.150000000000006"/>
    <n v="0"/>
    <n v="0"/>
    <n v="54.46"/>
    <n v="0"/>
    <n v="0"/>
    <n v="587195435"/>
  </r>
  <r>
    <d v="2026-06-09T22:55:53"/>
    <d v="2026-06-09T00:00:00"/>
    <d v="2026-06-09T17:55:53"/>
    <d v="2026-06-09T00:00:00"/>
    <d v="2026-06-09T17:44:05"/>
    <d v="2026-06-09T17:55:52"/>
    <d v="2026-06-18T10:27:37"/>
    <d v="2026-06-18T00:00:00"/>
    <n v="11717"/>
    <s v="Country Burger"/>
    <n v="241736"/>
    <s v="Country Burger (Murphy Rd)"/>
    <s v="NULL"/>
    <s v="Order"/>
    <s v="ceb52daf-8e50-3001-831c-1a4c74a0b392"/>
    <n v="17417654762"/>
    <s v="74A0B392"/>
    <s v="bd0d9688-28d1-47d0-906d-6311c482cac7"/>
    <s v="4a39bcc9-bdb2-41fb-95ef-e67f0a74aa9f"/>
    <s v="Marketplace"/>
    <s v="NULL"/>
    <x v="1"/>
    <s v="USD"/>
    <n v="43.16"/>
    <n v="3.45"/>
    <n v="0"/>
    <n v="-6.47"/>
    <n v="-0.17"/>
    <n v="0"/>
    <n v="0"/>
    <n v="0"/>
    <n v="0"/>
    <n v="0"/>
    <n v="0"/>
    <n v="0"/>
    <n v="0"/>
    <n v="0"/>
    <n v="39.97"/>
    <n v="0"/>
    <n v="0"/>
    <n v="43.16"/>
    <n v="0"/>
    <n v="0"/>
    <n v="587195435"/>
  </r>
  <r>
    <d v="2026-06-09T22:36:00"/>
    <d v="2026-06-09T00:00:00"/>
    <d v="2026-06-09T17:36:00"/>
    <d v="2026-06-09T00:00:00"/>
    <d v="2026-06-09T17:26:01"/>
    <d v="2026-06-09T17:35:59"/>
    <d v="2026-06-18T10:27:37"/>
    <d v="2026-06-18T00:00:00"/>
    <n v="11717"/>
    <s v="Country Burger"/>
    <n v="241736"/>
    <s v="Country Burger (Murphy Rd)"/>
    <s v="NULL"/>
    <s v="Order"/>
    <s v="4bb07612-0773-3001-a26c-3d8a6beb9a02"/>
    <n v="17417398821"/>
    <s v="6BEB9A02"/>
    <s v="9c214131-fbf9-4458-b615-3e37c648a5dd"/>
    <s v="96516649-cd1d-4cb5-83b7-1349007c41c1"/>
    <s v="Marketplace"/>
    <s v="NULL"/>
    <x v="1"/>
    <s v="USD"/>
    <n v="21.49"/>
    <n v="1.72"/>
    <n v="0"/>
    <n v="-3.22"/>
    <n v="-0.08"/>
    <n v="0"/>
    <n v="0"/>
    <n v="0"/>
    <n v="0"/>
    <n v="0"/>
    <n v="0"/>
    <n v="0"/>
    <n v="0"/>
    <n v="0"/>
    <n v="19.91"/>
    <n v="0"/>
    <n v="0"/>
    <n v="21.49"/>
    <n v="0"/>
    <n v="0"/>
    <n v="587195435"/>
  </r>
  <r>
    <d v="2026-06-09T18:26:42"/>
    <d v="2026-06-09T00:00:00"/>
    <d v="2026-06-09T13:26:42"/>
    <d v="2026-06-09T00:00:00"/>
    <d v="2026-06-09T13:13:42"/>
    <d v="2026-06-09T13:26:41"/>
    <d v="2026-06-18T10:27:37"/>
    <d v="2026-06-18T00:00:00"/>
    <n v="11717"/>
    <s v="Country Burger"/>
    <n v="241736"/>
    <s v="Country Burger (Murphy Rd)"/>
    <s v="NULL"/>
    <s v="Order"/>
    <s v="61b2b54a-65db-3001-9afd-f60340516341"/>
    <n v="17414812278"/>
    <n v="40516341"/>
    <s v="16e89801-8410-4702-bafc-b0e0713969a9"/>
    <s v="e20feec5-903e-4f32-b91b-43d07996b69b"/>
    <s v="Marketplace"/>
    <s v="NULL"/>
    <x v="1"/>
    <s v="USD"/>
    <n v="9.49"/>
    <n v="0.12"/>
    <n v="0"/>
    <n v="-0.22"/>
    <n v="-0.01"/>
    <n v="0"/>
    <n v="0"/>
    <n v="-8"/>
    <n v="0"/>
    <n v="0"/>
    <n v="0"/>
    <n v="0"/>
    <n v="0"/>
    <n v="0"/>
    <n v="1.38"/>
    <n v="0"/>
    <n v="0"/>
    <n v="1.49"/>
    <n v="0"/>
    <n v="0"/>
    <n v="587195435"/>
  </r>
  <r>
    <d v="2026-06-09T18:00:52"/>
    <d v="2026-06-09T00:00:00"/>
    <d v="2026-06-09T13:00:52"/>
    <d v="2026-06-09T00:00:00"/>
    <d v="2026-06-09T12:48:04"/>
    <d v="2026-06-09T13:00:51"/>
    <d v="2026-06-18T10:27:37"/>
    <d v="2026-06-18T00:00:00"/>
    <n v="11717"/>
    <s v="Country Burger"/>
    <n v="241736"/>
    <s v="Country Burger (Murphy Rd)"/>
    <s v="NULL"/>
    <s v="Order"/>
    <s v="d0f89afd-9a49-3001-93ab-08d5f1489a33"/>
    <n v="17414547685"/>
    <s v="F1489A33"/>
    <s v="5bee1ca5-8bcb-41a9-9ef4-e4897f01769e"/>
    <s v="0dd87522-d54f-49df-9c0f-9d4f1457aa88"/>
    <s v="Marketplace"/>
    <s v="NULL"/>
    <x v="1"/>
    <s v="USD"/>
    <n v="45.05"/>
    <n v="3.6"/>
    <n v="0"/>
    <n v="-6.76"/>
    <n v="-0.18"/>
    <n v="0"/>
    <n v="0"/>
    <n v="0"/>
    <n v="0"/>
    <n v="0"/>
    <n v="0"/>
    <n v="0"/>
    <n v="0"/>
    <n v="0"/>
    <n v="41.71"/>
    <n v="0"/>
    <n v="0"/>
    <n v="45.05"/>
    <n v="0"/>
    <n v="0"/>
    <n v="587195435"/>
  </r>
  <r>
    <d v="2026-06-09T17:32:16"/>
    <d v="2026-06-09T00:00:00"/>
    <d v="2026-06-09T12:32:16"/>
    <d v="2026-06-09T00:00:00"/>
    <d v="2026-06-09T12:18:57"/>
    <d v="2026-06-09T12:32:15"/>
    <d v="2026-06-18T10:27:37"/>
    <d v="2026-06-18T00:00:00"/>
    <n v="11717"/>
    <s v="Country Burger"/>
    <n v="241736"/>
    <s v="Country Burger (Murphy Rd)"/>
    <s v="NULL"/>
    <s v="Order"/>
    <s v="444af6ad-169e-3001-a65d-41fbe67c8ea1"/>
    <n v="17414243696"/>
    <s v="E67C8EA1"/>
    <s v="4dfaee32-a3d1-4bbc-8240-686503c36a23"/>
    <s v="d3b48ce5-911e-40fc-a3da-4adb0527665e"/>
    <s v="Marketplace"/>
    <s v="NULL"/>
    <x v="0"/>
    <s v="USD"/>
    <n v="24.96"/>
    <n v="2"/>
    <n v="0"/>
    <n v="-1.5"/>
    <n v="-0.1"/>
    <n v="0"/>
    <n v="0"/>
    <n v="0"/>
    <n v="0"/>
    <n v="0"/>
    <n v="0"/>
    <n v="0"/>
    <n v="0"/>
    <n v="0"/>
    <n v="25.36"/>
    <n v="0"/>
    <n v="0"/>
    <n v="24.96"/>
    <n v="0"/>
    <n v="0"/>
    <n v="587195435"/>
  </r>
  <r>
    <d v="2026-06-09T00:24:12"/>
    <d v="2026-06-09T00:00:00"/>
    <d v="2026-06-08T19:24:12"/>
    <d v="2026-06-08T00:00:00"/>
    <d v="2026-06-08T17:47:56"/>
    <d v="2026-06-08T19:24:11"/>
    <d v="2026-06-18T10:27:37"/>
    <d v="2026-06-18T00:00:00"/>
    <n v="11717"/>
    <s v="Country Burger"/>
    <n v="241736"/>
    <s v="Country Burger (Murphy Rd)"/>
    <s v="NULL"/>
    <s v="Order"/>
    <s v="309dfef3-e220-3001-9bd8-02b4855831e3"/>
    <n v="17408518438"/>
    <n v="855831000"/>
    <s v="71ba09d3-2976-4e20-9ade-d78cea4f5059"/>
    <s v="f79b0f74-4675-45e1-bcad-7e53fc325bff"/>
    <s v="Marketplace"/>
    <s v="NULL"/>
    <x v="0"/>
    <s v="USD"/>
    <n v="38.44"/>
    <n v="3.08"/>
    <n v="0"/>
    <n v="-2.31"/>
    <n v="-0.15"/>
    <n v="0"/>
    <n v="0"/>
    <n v="0"/>
    <n v="0"/>
    <n v="0"/>
    <n v="0"/>
    <n v="0"/>
    <n v="0"/>
    <n v="0"/>
    <n v="39.06"/>
    <n v="0"/>
    <n v="0"/>
    <n v="38.44"/>
    <n v="0"/>
    <n v="0"/>
    <n v="587195435"/>
  </r>
  <r>
    <d v="2026-06-08T21:23:47"/>
    <d v="2026-06-08T00:00:00"/>
    <d v="2026-06-08T16:23:47"/>
    <d v="2026-06-08T00:00:00"/>
    <d v="2026-06-08T16:11:28"/>
    <d v="2026-06-08T16:23:46"/>
    <d v="2026-06-18T10:27:37"/>
    <d v="2026-06-18T00:00:00"/>
    <n v="11717"/>
    <s v="Country Burger"/>
    <n v="241736"/>
    <s v="Country Burger (Murphy Rd)"/>
    <s v="NULL"/>
    <s v="Order"/>
    <s v="88462d48-1d10-3001-bdbf-d6af8e0d9679"/>
    <n v="17406256651"/>
    <s v="8E0D9679"/>
    <s v="8fe86bc8-bc82-4fbc-8a27-0cdfe64007ca"/>
    <s v="8ea24046-9404-46ab-807e-f3f3630ed41a"/>
    <s v="Marketplace"/>
    <s v="NULL"/>
    <x v="1"/>
    <s v="USD"/>
    <n v="18.59"/>
    <n v="1.49"/>
    <n v="0"/>
    <n v="-2.79"/>
    <n v="-7.0000000000000007E-2"/>
    <n v="0"/>
    <n v="0"/>
    <n v="0"/>
    <n v="0"/>
    <n v="0"/>
    <n v="0"/>
    <n v="0"/>
    <n v="0"/>
    <n v="0"/>
    <n v="17.22"/>
    <n v="0"/>
    <n v="0"/>
    <n v="18.59"/>
    <n v="0"/>
    <n v="0"/>
    <n v="587195435"/>
  </r>
  <r>
    <d v="2026-06-08T18:36:31"/>
    <d v="2026-06-08T00:00:00"/>
    <d v="2026-06-08T13:36:31"/>
    <d v="2026-06-08T00:00:00"/>
    <d v="2026-06-08T12:00:49"/>
    <d v="2026-06-08T13:36:30"/>
    <d v="2026-06-18T10:27:37"/>
    <d v="2026-06-18T00:00:00"/>
    <n v="11717"/>
    <s v="Country Burger"/>
    <n v="241736"/>
    <s v="Country Burger (Murphy Rd)"/>
    <s v="NULL"/>
    <s v="Order"/>
    <s v="d140fc11-3b1a-3001-a390-0b3357c2aa55"/>
    <n v="17404629227"/>
    <s v="57C2AA55"/>
    <s v="b5702ac2-7cf9-47b0-b2da-52e0a37f9a9c"/>
    <s v="e6e01b40-7f3c-42d0-b375-d4373b4535c0"/>
    <s v="Marketplace"/>
    <s v="NULL"/>
    <x v="0"/>
    <s v="USD"/>
    <n v="60.7"/>
    <n v="4.8600000000000003"/>
    <n v="13.11"/>
    <n v="-3.64"/>
    <n v="-0.24"/>
    <n v="0"/>
    <n v="0"/>
    <n v="0"/>
    <n v="0"/>
    <n v="0"/>
    <n v="0"/>
    <n v="0"/>
    <n v="0"/>
    <n v="0"/>
    <n v="74.790000000000006"/>
    <n v="0"/>
    <n v="0"/>
    <n v="60.7"/>
    <n v="0"/>
    <n v="0"/>
    <n v="587195435"/>
  </r>
  <r>
    <d v="2026-06-08T18:27:57"/>
    <d v="2026-06-08T00:00:00"/>
    <d v="2026-06-08T13:27:57"/>
    <d v="2026-06-08T00:00:00"/>
    <d v="2026-06-08T13:17:12"/>
    <d v="2026-06-08T13:27:56"/>
    <d v="2026-06-18T10:27:37"/>
    <d v="2026-06-18T00:00:00"/>
    <n v="11717"/>
    <s v="Country Burger"/>
    <n v="241736"/>
    <s v="Country Burger (Murphy Rd)"/>
    <s v="NULL"/>
    <s v="Order"/>
    <s v="de16591e-1269-3001-b279-687a1282d80b"/>
    <n v="17404538421"/>
    <s v="1282D80B"/>
    <s v="4df7b627-3333-4f34-8f43-07145eb86042"/>
    <s v="123067e5-acb0-4395-937b-d5444ec21c53"/>
    <s v="Marketplace"/>
    <s v="NULL"/>
    <x v="1"/>
    <s v="USD"/>
    <n v="9.49"/>
    <n v="0.76"/>
    <n v="0"/>
    <n v="-1.42"/>
    <n v="-0.04"/>
    <n v="0"/>
    <n v="0"/>
    <n v="0"/>
    <n v="0"/>
    <n v="0"/>
    <n v="0"/>
    <n v="0"/>
    <n v="0"/>
    <n v="0"/>
    <n v="8.7899999999999991"/>
    <n v="0"/>
    <n v="0"/>
    <n v="9.49"/>
    <n v="0"/>
    <n v="0"/>
    <n v="587195435"/>
  </r>
  <r>
    <d v="2026-06-08T17:53:26"/>
    <d v="2026-06-08T00:00:00"/>
    <d v="2026-06-08T12:53:26"/>
    <d v="2026-06-08T00:00:00"/>
    <d v="2026-06-08T11:24:58"/>
    <d v="2026-06-08T12:53:25"/>
    <d v="2026-06-18T10:27:37"/>
    <d v="2026-06-18T00:00:00"/>
    <n v="11717"/>
    <s v="Country Burger"/>
    <n v="241736"/>
    <s v="Country Burger (Murphy Rd)"/>
    <s v="NULL"/>
    <s v="Order"/>
    <s v="c0731273-dc38-3001-b5d2-c2282189d2b3"/>
    <n v="17404191105"/>
    <s v="2189D2B3"/>
    <s v="e50bcd5c-f19f-4a41-a912-932c8d0d1f4c"/>
    <s v="cdcd7f32-8e29-44b1-912a-2f6827dec18a"/>
    <s v="Marketplace"/>
    <s v="NULL"/>
    <x v="0"/>
    <s v="USD"/>
    <n v="33.54"/>
    <n v="2.68"/>
    <n v="3.62"/>
    <n v="-2.0099999999999998"/>
    <n v="-0.13"/>
    <n v="0"/>
    <n v="0"/>
    <n v="0"/>
    <n v="0"/>
    <n v="0"/>
    <n v="0"/>
    <n v="0"/>
    <n v="0"/>
    <n v="0"/>
    <n v="37.700000000000003"/>
    <n v="0"/>
    <n v="0"/>
    <n v="33.54"/>
    <n v="0"/>
    <n v="0"/>
    <n v="587195435"/>
  </r>
  <r>
    <d v="2026-06-08T17:31:46"/>
    <d v="2026-06-08T00:00:00"/>
    <d v="2026-06-08T12:31:46"/>
    <d v="2026-06-08T00:00:00"/>
    <d v="2026-06-08T12:22:01"/>
    <d v="2026-06-08T12:31:45"/>
    <d v="2026-06-18T10:27:37"/>
    <d v="2026-06-18T00:00:00"/>
    <n v="11717"/>
    <s v="Country Burger"/>
    <n v="241736"/>
    <s v="Country Burger (Murphy Rd)"/>
    <s v="NULL"/>
    <s v="Order"/>
    <s v="64fb8c50-81de-3001-9f94-3eab69cf53cb"/>
    <n v="17403971626"/>
    <s v="69CF53CB"/>
    <s v="11c2cfb8-0f89-4579-be3e-4c7ee5786f27"/>
    <s v="f715e76c-7433-4d3f-bccd-d476904ec8ee"/>
    <s v="Marketplace"/>
    <s v="NULL"/>
    <x v="1"/>
    <s v="USD"/>
    <n v="12.74"/>
    <n v="1.02"/>
    <n v="0"/>
    <n v="-1.91"/>
    <n v="-0.05"/>
    <n v="0"/>
    <n v="0"/>
    <n v="0"/>
    <n v="0"/>
    <n v="0"/>
    <n v="0"/>
    <n v="0"/>
    <n v="0"/>
    <n v="0"/>
    <n v="11.8"/>
    <n v="0"/>
    <n v="0"/>
    <n v="12.74"/>
    <n v="0"/>
    <n v="0"/>
    <n v="587195435"/>
  </r>
  <r>
    <d v="2026-06-08T16:47:27"/>
    <d v="2026-06-08T00:00:00"/>
    <d v="2026-06-08T11:47:27"/>
    <d v="2026-06-08T00:00:00"/>
    <d v="2026-06-08T11:38:25"/>
    <d v="2026-06-08T11:47:26"/>
    <d v="2026-06-18T10:27:37"/>
    <d v="2026-06-18T00:00:00"/>
    <n v="11717"/>
    <s v="Country Burger"/>
    <n v="241736"/>
    <s v="Country Burger (Murphy Rd)"/>
    <s v="NULL"/>
    <s v="Order"/>
    <s v="9fd40d80-3a73-3001-8256-dfc03530defa"/>
    <n v="17403520387"/>
    <s v="3530DEFA"/>
    <s v="3ee49a08-1b48-4f6c-9ef6-15c0028bbbbc"/>
    <s v="8ef328d8-9c71-4878-bf50-84fd7f48ea05"/>
    <s v="Marketplace"/>
    <s v="NULL"/>
    <x v="1"/>
    <s v="USD"/>
    <n v="10.99"/>
    <n v="0.88"/>
    <n v="0"/>
    <n v="-1.65"/>
    <n v="-0.04"/>
    <n v="0"/>
    <n v="0"/>
    <n v="0"/>
    <n v="0"/>
    <n v="0"/>
    <n v="0"/>
    <n v="0"/>
    <n v="0"/>
    <n v="0"/>
    <n v="10.18"/>
    <n v="0"/>
    <n v="0"/>
    <n v="10.99"/>
    <n v="0"/>
    <n v="0"/>
    <n v="587195435"/>
  </r>
  <r>
    <d v="2026-06-07T23:55:25"/>
    <d v="2026-06-07T00:00:00"/>
    <d v="2026-06-07T18:55:25"/>
    <d v="2026-06-07T00:00:00"/>
    <d v="2026-06-07T18:41:24"/>
    <d v="2026-06-07T18:55:24"/>
    <d v="2026-06-11T13:03:54"/>
    <d v="2026-06-11T00:00:00"/>
    <n v="11717"/>
    <s v="Country Burger"/>
    <n v="241736"/>
    <s v="Country Burger (Murphy Rd)"/>
    <s v="NULL"/>
    <s v="Order"/>
    <s v="9e6943eb-8e5a-3001-8942-d654bb1912d8"/>
    <n v="17397592353"/>
    <s v="BB1912D8"/>
    <s v="89d250d8-2c7a-4207-a470-37acbb433c78"/>
    <s v="dc3844fb-c0a8-4b27-930d-a3f8fc69c7ea"/>
    <s v="Marketplace"/>
    <s v="NULL"/>
    <x v="1"/>
    <s v="USD"/>
    <n v="37.979999999999997"/>
    <n v="3.04"/>
    <n v="0"/>
    <n v="-5.7"/>
    <n v="-0.15"/>
    <n v="0"/>
    <n v="0"/>
    <n v="0"/>
    <n v="-1"/>
    <n v="0"/>
    <n v="1"/>
    <n v="0"/>
    <n v="0"/>
    <n v="0"/>
    <n v="35.17"/>
    <n v="0"/>
    <n v="0"/>
    <n v="37.979999999999997"/>
    <n v="0"/>
    <n v="0"/>
    <n v="585632794"/>
  </r>
  <r>
    <d v="2026-06-07T23:01:14"/>
    <d v="2026-06-07T00:00:00"/>
    <d v="2026-06-07T18:01:14"/>
    <d v="2026-06-07T00:00:00"/>
    <d v="2026-06-07T17:44:57"/>
    <d v="2026-06-07T18:01:13"/>
    <d v="2026-06-11T13:03:54"/>
    <d v="2026-06-11T00:00:00"/>
    <n v="11717"/>
    <s v="Country Burger"/>
    <n v="241736"/>
    <s v="Country Burger (Murphy Rd)"/>
    <s v="NULL"/>
    <s v="Order"/>
    <s v="b06ef48b-14c2-3001-9ee0-c07f7c3b74ac"/>
    <n v="17396813990"/>
    <s v="7C3B74AC"/>
    <s v="fd3bd91f-f4c2-4539-8c4f-5cc52c17c242"/>
    <s v="5eb8319e-96ba-499c-a831-444690084f97"/>
    <s v="Marketplace"/>
    <s v="NULL"/>
    <x v="1"/>
    <s v="USD"/>
    <n v="26.71"/>
    <n v="2.14"/>
    <n v="0"/>
    <n v="-4.01"/>
    <n v="-0.11"/>
    <n v="0"/>
    <n v="0"/>
    <n v="0"/>
    <n v="0"/>
    <n v="0"/>
    <n v="0"/>
    <n v="0"/>
    <n v="0"/>
    <n v="0"/>
    <n v="24.73"/>
    <n v="0"/>
    <n v="0"/>
    <n v="26.71"/>
    <n v="0"/>
    <n v="0"/>
    <n v="585632794"/>
  </r>
  <r>
    <d v="2026-06-07T21:51:05"/>
    <d v="2026-06-07T00:00:00"/>
    <d v="2026-06-07T16:51:05"/>
    <d v="2026-06-07T00:00:00"/>
    <d v="2026-06-07T16:40:13"/>
    <d v="2026-06-07T16:51:03"/>
    <d v="2026-06-11T13:03:54"/>
    <d v="2026-06-11T00:00:00"/>
    <n v="11717"/>
    <s v="Country Burger"/>
    <n v="241736"/>
    <s v="Country Burger (Murphy Rd)"/>
    <s v="NULL"/>
    <s v="Order"/>
    <s v="039ea16b-3f30-3001-bdaa-017f4bf9834a"/>
    <n v="17395867540"/>
    <s v="4BF9834A"/>
    <s v="aae44210-8cd6-49cb-bebf-cace776e134b"/>
    <s v="93ee81ec-5e78-4283-957f-0b0833f9286b"/>
    <s v="Marketplace"/>
    <s v="NULL"/>
    <x v="1"/>
    <s v="USD"/>
    <n v="14.5"/>
    <n v="1.1599999999999999"/>
    <n v="0"/>
    <n v="-2.1800000000000002"/>
    <n v="-0.06"/>
    <n v="0"/>
    <n v="0"/>
    <n v="0"/>
    <n v="0"/>
    <n v="0"/>
    <n v="0"/>
    <n v="0"/>
    <n v="0"/>
    <n v="0"/>
    <n v="13.42"/>
    <n v="0"/>
    <n v="0"/>
    <n v="14.5"/>
    <n v="0"/>
    <n v="0"/>
    <n v="585632794"/>
  </r>
  <r>
    <d v="2026-06-07T21:16:44"/>
    <d v="2026-06-07T00:00:00"/>
    <d v="2026-06-07T16:16:44"/>
    <d v="2026-06-07T00:00:00"/>
    <d v="2026-06-07T15:57:18"/>
    <d v="2026-06-07T16:16:42"/>
    <d v="2026-06-11T13:03:54"/>
    <d v="2026-06-11T00:00:00"/>
    <n v="11717"/>
    <s v="Country Burger"/>
    <n v="241736"/>
    <s v="Country Burger (Murphy Rd)"/>
    <s v="NULL"/>
    <s v="Order"/>
    <s v="6e4078a9-2684-3001-9a82-9c404eadce83"/>
    <n v="17395446833"/>
    <s v="4EADCE83"/>
    <s v="3459a0ab-73c0-47c4-b16a-d453e74044be"/>
    <s v="4d28c3f2-aaba-4a8c-a73b-f46065c9d225"/>
    <s v="Marketplace"/>
    <s v="NULL"/>
    <x v="1"/>
    <s v="USD"/>
    <n v="125.15"/>
    <n v="9.3699999999999992"/>
    <n v="0"/>
    <n v="-17.57"/>
    <n v="-0.46"/>
    <n v="0"/>
    <n v="0"/>
    <n v="-8"/>
    <n v="0"/>
    <n v="0"/>
    <n v="0"/>
    <n v="0"/>
    <n v="0"/>
    <n v="0"/>
    <n v="108.49"/>
    <n v="0"/>
    <n v="0"/>
    <n v="117.15"/>
    <n v="0"/>
    <n v="0"/>
    <n v="585632794"/>
  </r>
  <r>
    <d v="2026-06-07T20:46:04"/>
    <d v="2026-06-07T00:00:00"/>
    <d v="2026-06-07T15:46:04"/>
    <d v="2026-06-07T00:00:00"/>
    <d v="2026-06-07T15:38:08"/>
    <d v="2026-06-07T15:46:03"/>
    <d v="2026-06-11T13:03:54"/>
    <d v="2026-06-11T00:00:00"/>
    <n v="11717"/>
    <s v="Country Burger"/>
    <n v="241736"/>
    <s v="Country Burger (Murphy Rd)"/>
    <s v="NULL"/>
    <s v="Order"/>
    <s v="437d885d-f8d3-3001-94ae-64adb6403bd8"/>
    <n v="17395095038"/>
    <s v="B6403BD8"/>
    <s v="b9e9ec89-70f6-4d6a-ae49-2424d7bcc9e5"/>
    <s v="7b74c1eb-9fe8-48da-87ca-6b965acdfa45"/>
    <s v="Marketplace"/>
    <s v="NULL"/>
    <x v="1"/>
    <s v="USD"/>
    <n v="13"/>
    <n v="1.04"/>
    <n v="0"/>
    <n v="-1.95"/>
    <n v="-0.05"/>
    <n v="0"/>
    <n v="0"/>
    <n v="0"/>
    <n v="0"/>
    <n v="0"/>
    <n v="0"/>
    <n v="0"/>
    <n v="0"/>
    <n v="0"/>
    <n v="12.04"/>
    <n v="0"/>
    <n v="0"/>
    <n v="13"/>
    <n v="0"/>
    <n v="0"/>
    <n v="585632794"/>
  </r>
  <r>
    <d v="2026-06-07T20:19:14"/>
    <d v="2026-06-07T00:00:00"/>
    <d v="2026-06-07T15:19:14"/>
    <d v="2026-06-07T00:00:00"/>
    <d v="2026-06-07T15:09:41"/>
    <d v="2026-06-07T15:19:13"/>
    <d v="2026-06-11T13:03:54"/>
    <d v="2026-06-11T00:00:00"/>
    <n v="11717"/>
    <s v="Country Burger"/>
    <n v="241736"/>
    <s v="Country Burger (Murphy Rd)"/>
    <s v="NULL"/>
    <s v="Order"/>
    <s v="c67c47ca-d2ed-3001-bb7f-2f84ef59b9ce"/>
    <n v="17394797765"/>
    <s v="EF59B9CE"/>
    <s v="15080396-9aa1-42e9-a498-593dc3b5a553"/>
    <s v="25a854ce-d673-4434-bf79-3bea70bdf264"/>
    <s v="Marketplace"/>
    <s v="NULL"/>
    <x v="1"/>
    <s v="USD"/>
    <n v="28.18"/>
    <n v="2.25"/>
    <n v="0"/>
    <n v="-4.2300000000000004"/>
    <n v="-0.11"/>
    <n v="0"/>
    <n v="0"/>
    <n v="0"/>
    <n v="0"/>
    <n v="0"/>
    <n v="0"/>
    <n v="0"/>
    <n v="0"/>
    <n v="0"/>
    <n v="26.09"/>
    <n v="0"/>
    <n v="0"/>
    <n v="28.18"/>
    <n v="0"/>
    <n v="0"/>
    <n v="585632794"/>
  </r>
  <r>
    <d v="2026-06-07T19:25:35"/>
    <d v="2026-06-07T00:00:00"/>
    <d v="2026-06-07T14:25:35"/>
    <d v="2026-06-07T00:00:00"/>
    <d v="2026-06-07T14:18:26"/>
    <d v="2026-06-07T14:25:34"/>
    <d v="2026-06-11T13:03:54"/>
    <d v="2026-06-11T00:00:00"/>
    <n v="11717"/>
    <s v="Country Burger"/>
    <n v="241736"/>
    <s v="Country Burger (Murphy Rd)"/>
    <s v="NULL"/>
    <s v="Order"/>
    <s v="4c617728-d333-3001-96e3-2626d4cce8fc"/>
    <n v="17394227000"/>
    <s v="D4CCE8FC"/>
    <s v="25a47f72-c196-4203-b596-4c081215cd34"/>
    <s v="401a02e0-5ce9-4209-96f8-afaf8f84f8e8"/>
    <s v="Marketplace"/>
    <s v="NULL"/>
    <x v="1"/>
    <s v="USD"/>
    <n v="12.74"/>
    <n v="0.38"/>
    <n v="0"/>
    <n v="-0.71"/>
    <n v="-0.02"/>
    <n v="0"/>
    <n v="0"/>
    <n v="-8"/>
    <n v="0"/>
    <n v="0"/>
    <n v="0"/>
    <n v="0"/>
    <n v="0"/>
    <n v="0"/>
    <n v="4.3899999999999997"/>
    <n v="0"/>
    <n v="0"/>
    <n v="4.74"/>
    <n v="0"/>
    <n v="0"/>
    <n v="585632794"/>
  </r>
  <r>
    <d v="2026-06-07T00:58:37"/>
    <d v="2026-06-07T00:00:00"/>
    <d v="2026-06-06T19:58:37"/>
    <d v="2026-06-06T00:00:00"/>
    <d v="2026-06-06T19:36:14"/>
    <d v="2026-06-06T19:58:36"/>
    <d v="2026-06-11T13:03:54"/>
    <d v="2026-06-11T00:00:00"/>
    <n v="11717"/>
    <s v="Country Burger"/>
    <n v="241736"/>
    <s v="Country Burger (Murphy Rd)"/>
    <s v="NULL"/>
    <s v="Order"/>
    <s v="6933b06b-543c-3001-a8ee-8c1a293bf905"/>
    <n v="17387007077"/>
    <s v="293BF905"/>
    <s v="2be80a3d-9aad-407c-9c41-d4526b1caf9a"/>
    <s v="f561bbd6-0a6f-447f-9347-81d7cc06370c"/>
    <s v="Marketplace"/>
    <s v="NULL"/>
    <x v="1"/>
    <s v="USD"/>
    <n v="23.08"/>
    <n v="1.85"/>
    <n v="0"/>
    <n v="-3.46"/>
    <n v="-0.09"/>
    <n v="0"/>
    <n v="0"/>
    <n v="0"/>
    <n v="0"/>
    <n v="0"/>
    <n v="0"/>
    <n v="0"/>
    <n v="0"/>
    <n v="0"/>
    <n v="21.38"/>
    <n v="0"/>
    <n v="0"/>
    <n v="23.08"/>
    <n v="0"/>
    <n v="0"/>
    <n v="585632794"/>
  </r>
  <r>
    <d v="2026-06-07T00:20:11"/>
    <d v="2026-06-07T00:00:00"/>
    <d v="2026-06-06T19:20:11"/>
    <d v="2026-06-06T00:00:00"/>
    <d v="2026-06-06T19:04:59"/>
    <d v="2026-06-06T19:20:10"/>
    <d v="2026-06-11T13:03:54"/>
    <d v="2026-06-11T00:00:00"/>
    <n v="11717"/>
    <s v="Country Burger"/>
    <n v="241736"/>
    <s v="Country Burger (Murphy Rd)"/>
    <s v="NULL"/>
    <s v="Order"/>
    <s v="fcbc55f9-6ac1-3001-8d06-a1db8022ea97"/>
    <n v="17386409127"/>
    <s v="8022EA97"/>
    <s v="40fc966d-5529-4860-8f1c-27110a658311"/>
    <s v="009326e7-65d8-4683-9748-6cb6e7fb571e"/>
    <s v="Marketplace"/>
    <s v="NULL"/>
    <x v="1"/>
    <s v="USD"/>
    <n v="22.22"/>
    <n v="1.78"/>
    <n v="0"/>
    <n v="-3.33"/>
    <n v="-0.09"/>
    <n v="0"/>
    <n v="0"/>
    <n v="0"/>
    <n v="0"/>
    <n v="0"/>
    <n v="0"/>
    <n v="0"/>
    <n v="0"/>
    <n v="0"/>
    <n v="20.58"/>
    <n v="0"/>
    <n v="0"/>
    <n v="22.22"/>
    <n v="0"/>
    <n v="0"/>
    <n v="585632794"/>
  </r>
  <r>
    <d v="2026-06-06T23:48:46"/>
    <d v="2026-06-06T00:00:00"/>
    <d v="2026-06-06T18:48:46"/>
    <d v="2026-06-06T00:00:00"/>
    <d v="2026-06-06T18:24:39"/>
    <d v="2026-06-06T18:48:45"/>
    <d v="2026-06-11T13:03:54"/>
    <d v="2026-06-11T00:00:00"/>
    <n v="11717"/>
    <s v="Country Burger"/>
    <n v="241736"/>
    <s v="Country Burger (Murphy Rd)"/>
    <s v="NULL"/>
    <s v="Order"/>
    <s v="35b8b660-fe4c-3001-8fed-c7c1a1dfa359"/>
    <n v="17385921332"/>
    <s v="A1DFA359"/>
    <s v="ccde9b62-f27e-4039-b762-46432a6468ca"/>
    <s v="bba53013-789e-4555-a8cb-2d5c287f8da8"/>
    <s v="Marketplace"/>
    <s v="NULL"/>
    <x v="1"/>
    <s v="USD"/>
    <n v="35.04"/>
    <n v="2.8"/>
    <n v="0"/>
    <n v="-5.26"/>
    <n v="-0.14000000000000001"/>
    <n v="0"/>
    <n v="0"/>
    <n v="0"/>
    <n v="0"/>
    <n v="0"/>
    <n v="0"/>
    <n v="0"/>
    <n v="0"/>
    <n v="0"/>
    <n v="32.44"/>
    <n v="0"/>
    <n v="0"/>
    <n v="35.04"/>
    <n v="0"/>
    <n v="0"/>
    <n v="585632794"/>
  </r>
  <r>
    <d v="2026-06-06T23:34:19"/>
    <d v="2026-06-06T00:00:00"/>
    <d v="2026-06-06T18:34:19"/>
    <d v="2026-06-06T00:00:00"/>
    <d v="2026-06-06T18:11:29"/>
    <d v="2026-06-06T18:34:18"/>
    <d v="2026-06-11T13:03:54"/>
    <d v="2026-06-11T00:00:00"/>
    <n v="11717"/>
    <s v="Country Burger"/>
    <n v="241736"/>
    <s v="Country Burger (Murphy Rd)"/>
    <s v="NULL"/>
    <s v="Order"/>
    <s v="553acd30-aeac-3001-963d-3e09f356b556"/>
    <n v="17385699050"/>
    <s v="F356B556"/>
    <s v="f44545ef-76e4-4a2b-af4e-7db98e9d893b"/>
    <s v="ccfb69c9-f4e7-45ca-9dfd-d89b1cad4759"/>
    <s v="Marketplace"/>
    <s v="NULL"/>
    <x v="1"/>
    <s v="USD"/>
    <n v="28.97"/>
    <n v="2.3199999999999998"/>
    <n v="0"/>
    <n v="-4.3499999999999996"/>
    <n v="-0.11"/>
    <n v="0"/>
    <n v="0"/>
    <n v="0"/>
    <n v="0"/>
    <n v="0"/>
    <n v="0"/>
    <n v="0"/>
    <n v="0"/>
    <n v="0"/>
    <n v="26.83"/>
    <n v="0"/>
    <n v="0"/>
    <n v="28.97"/>
    <n v="0"/>
    <n v="0"/>
    <n v="585632794"/>
  </r>
  <r>
    <d v="2026-06-06T23:11:56"/>
    <d v="2026-06-06T00:00:00"/>
    <d v="2026-06-06T18:11:56"/>
    <d v="2026-06-06T00:00:00"/>
    <d v="2026-06-06T17:58:13"/>
    <d v="2026-06-06T18:11:55"/>
    <d v="2026-06-11T13:03:54"/>
    <d v="2026-06-11T00:00:00"/>
    <n v="11717"/>
    <s v="Country Burger"/>
    <n v="241736"/>
    <s v="Country Burger (Murphy Rd)"/>
    <s v="NULL"/>
    <s v="Order"/>
    <s v="b6356f84-bef2-3001-afe7-fa881c520f1d"/>
    <n v="17385360985"/>
    <s v="1C520F1D"/>
    <s v="c115c454-ebe4-4f4f-b5c1-18c2c092c1e7"/>
    <s v="b1a7e43f-aa4f-40ba-af23-faec2fed6b07"/>
    <s v="Marketplace"/>
    <s v="NULL"/>
    <x v="1"/>
    <s v="USD"/>
    <n v="15.98"/>
    <n v="0.64"/>
    <n v="0"/>
    <n v="-1.2"/>
    <n v="-0.03"/>
    <n v="0"/>
    <n v="0"/>
    <n v="-8"/>
    <n v="0"/>
    <n v="0"/>
    <n v="0"/>
    <n v="0"/>
    <n v="0"/>
    <n v="0"/>
    <n v="7.39"/>
    <n v="0"/>
    <n v="0"/>
    <n v="7.98"/>
    <n v="0"/>
    <n v="0"/>
    <n v="585632794"/>
  </r>
  <r>
    <d v="2026-06-06T22:47:59"/>
    <d v="2026-06-06T00:00:00"/>
    <d v="2026-06-06T17:47:59"/>
    <d v="2026-06-06T00:00:00"/>
    <d v="2026-06-06T17:36:47"/>
    <d v="2026-06-06T17:47:58"/>
    <d v="2026-06-11T13:03:54"/>
    <d v="2026-06-11T00:00:00"/>
    <n v="11717"/>
    <s v="Country Burger"/>
    <n v="241736"/>
    <s v="Country Burger (Murphy Rd)"/>
    <s v="NULL"/>
    <s v="Order"/>
    <s v="880c00bd-a41a-3001-8d15-9918de7129e2"/>
    <n v="17385006964"/>
    <s v="DE7129E2"/>
    <s v="6d5c2937-4016-40cf-b6f2-d83f354e24cb"/>
    <s v="c69a9694-aa8d-4759-9cf8-671f89c08e7a"/>
    <s v="Marketplace"/>
    <s v="NULL"/>
    <x v="1"/>
    <s v="USD"/>
    <n v="21.49"/>
    <n v="1.72"/>
    <n v="0"/>
    <n v="-3.22"/>
    <n v="-0.08"/>
    <n v="0"/>
    <n v="0"/>
    <n v="0"/>
    <n v="0"/>
    <n v="0"/>
    <n v="0"/>
    <n v="0"/>
    <n v="0"/>
    <n v="0"/>
    <n v="19.91"/>
    <n v="0"/>
    <n v="0"/>
    <n v="21.49"/>
    <n v="0"/>
    <n v="0"/>
    <n v="585632794"/>
  </r>
  <r>
    <d v="2026-06-06T22:15:58"/>
    <d v="2026-06-06T00:00:00"/>
    <d v="2026-06-06T17:15:58"/>
    <d v="2026-06-06T00:00:00"/>
    <d v="2026-06-06T17:01:34"/>
    <d v="2026-06-06T17:15:57"/>
    <d v="2026-06-11T13:03:54"/>
    <d v="2026-06-11T00:00:00"/>
    <n v="11717"/>
    <s v="Country Burger"/>
    <n v="241736"/>
    <s v="Country Burger (Murphy Rd)"/>
    <s v="NULL"/>
    <s v="Order"/>
    <s v="2ee0d0aa-d034-3001-9561-f33d1c90a241"/>
    <n v="17384554775"/>
    <s v="1C90A241"/>
    <s v="2e6ccc3d-a53f-44fb-8b98-e233e6a965cd"/>
    <s v="3ec5bc24-3f34-4768-9f37-f62f4a2659c4"/>
    <s v="Marketplace"/>
    <s v="NULL"/>
    <x v="1"/>
    <s v="USD"/>
    <n v="25.19"/>
    <n v="2.02"/>
    <n v="0"/>
    <n v="-3.78"/>
    <n v="-0.1"/>
    <n v="0"/>
    <n v="0"/>
    <n v="0"/>
    <n v="0"/>
    <n v="0"/>
    <n v="0"/>
    <n v="0"/>
    <n v="0"/>
    <n v="0"/>
    <n v="23.33"/>
    <n v="0"/>
    <n v="0"/>
    <n v="25.19"/>
    <n v="0"/>
    <n v="0"/>
    <n v="585632794"/>
  </r>
  <r>
    <d v="2026-06-06T21:47:10"/>
    <d v="2026-06-06T00:00:00"/>
    <d v="2026-06-06T16:47:10"/>
    <d v="2026-06-06T00:00:00"/>
    <d v="2026-06-06T16:29:05"/>
    <d v="2026-06-06T16:47:09"/>
    <d v="2026-06-11T13:03:54"/>
    <d v="2026-06-11T00:00:00"/>
    <n v="11717"/>
    <s v="Country Burger"/>
    <n v="241736"/>
    <s v="Country Burger (Murphy Rd)"/>
    <s v="NULL"/>
    <s v="Order"/>
    <s v="dfd51d0b-2d9b-3001-a558-ac1401e9796c"/>
    <n v="17384176879"/>
    <s v="01E9796C"/>
    <s v="464532b9-bf36-4722-a129-434be8ad550f"/>
    <s v="6314115e-a17f-43cc-9f67-1846d1cca002"/>
    <s v="Marketplace"/>
    <s v="NULL"/>
    <x v="1"/>
    <s v="USD"/>
    <n v="13.59"/>
    <n v="1.0900000000000001"/>
    <n v="0"/>
    <n v="-2.04"/>
    <n v="-0.05"/>
    <n v="0"/>
    <n v="0"/>
    <n v="0"/>
    <n v="0"/>
    <n v="0"/>
    <n v="0"/>
    <n v="0"/>
    <n v="0"/>
    <n v="0"/>
    <n v="12.59"/>
    <n v="0"/>
    <n v="0"/>
    <n v="13.59"/>
    <n v="0"/>
    <n v="0"/>
    <n v="585632794"/>
  </r>
  <r>
    <d v="2026-06-06T17:01:07"/>
    <d v="2026-06-06T00:00:00"/>
    <d v="2026-06-06T12:01:07"/>
    <d v="2026-06-06T00:00:00"/>
    <d v="2026-06-06T11:50:20"/>
    <d v="2026-06-06T12:01:06"/>
    <d v="2026-06-11T13:03:54"/>
    <d v="2026-06-11T00:00:00"/>
    <n v="11717"/>
    <s v="Country Burger"/>
    <n v="241736"/>
    <s v="Country Burger (Murphy Rd)"/>
    <s v="NULL"/>
    <s v="Order"/>
    <s v="c730ac16-b883-3001-82a6-e4446f47cd85"/>
    <n v="17381035136"/>
    <s v="6F47CD85"/>
    <s v="d58ecab2-75a3-4c50-8d22-b5c63b2d5f1e"/>
    <s v="c036fbe6-4139-4893-a271-afa54fde9fcc"/>
    <s v="Marketplace"/>
    <s v="NULL"/>
    <x v="1"/>
    <s v="USD"/>
    <n v="11.98"/>
    <n v="0.96"/>
    <n v="0"/>
    <n v="-1.8"/>
    <n v="-0.05"/>
    <n v="0"/>
    <n v="0"/>
    <n v="0"/>
    <n v="0"/>
    <n v="0"/>
    <n v="0"/>
    <n v="0"/>
    <n v="0"/>
    <n v="0"/>
    <n v="11.09"/>
    <n v="0"/>
    <n v="0"/>
    <n v="11.98"/>
    <n v="0"/>
    <n v="0"/>
    <n v="585632794"/>
  </r>
  <r>
    <d v="2026-06-06T02:24:23"/>
    <d v="2026-06-06T00:00:00"/>
    <d v="2026-06-05T21:24:23"/>
    <d v="2026-06-05T00:00:00"/>
    <d v="2026-06-05T19:45:00"/>
    <d v="2026-06-05T21:24:22"/>
    <d v="2026-06-11T13:03:54"/>
    <d v="2026-06-11T00:00:00"/>
    <n v="11717"/>
    <s v="Country Burger"/>
    <n v="241736"/>
    <s v="Country Burger (Murphy Rd)"/>
    <s v="NULL"/>
    <s v="Order"/>
    <s v="f1bdf86d-b534-3001-8cbb-f921f557ee9c"/>
    <n v="17376125976"/>
    <s v="F557EE9C"/>
    <s v="2be7ef72-4155-4b13-aae2-eebaad45de3f"/>
    <s v="b6d7c06a-9043-4c2f-a026-44d1eba5a614"/>
    <s v="Marketplace"/>
    <s v="NULL"/>
    <x v="0"/>
    <s v="USD"/>
    <n v="34.380000000000003"/>
    <n v="2.11"/>
    <n v="0"/>
    <n v="-1.58"/>
    <n v="-0.1"/>
    <n v="0"/>
    <n v="0"/>
    <n v="-8"/>
    <n v="0"/>
    <n v="0"/>
    <n v="0"/>
    <n v="0"/>
    <n v="0"/>
    <n v="0"/>
    <n v="26.81"/>
    <n v="0"/>
    <n v="0"/>
    <n v="26.38"/>
    <n v="0"/>
    <n v="0"/>
    <n v="585632794"/>
  </r>
  <r>
    <d v="2026-06-06T00:33:57"/>
    <d v="2026-06-06T00:00:00"/>
    <d v="2026-06-05T19:33:57"/>
    <d v="2026-06-05T00:00:00"/>
    <d v="2026-06-05T19:19:15"/>
    <d v="2026-06-05T19:33:55"/>
    <d v="2026-06-11T13:03:54"/>
    <d v="2026-06-11T00:00:00"/>
    <n v="11717"/>
    <s v="Country Burger"/>
    <n v="241736"/>
    <s v="Country Burger (Murphy Rd)"/>
    <s v="NULL"/>
    <s v="Order"/>
    <s v="160c0727-28fa-3001-8ac5-bfe79878bde5"/>
    <n v="17374264280"/>
    <s v="9878BDE5"/>
    <s v="8076dbe4-0745-4dbf-9c4a-0384ac8b8323"/>
    <s v="a5202715-d05c-4bdd-89cd-9fb31f0478f1"/>
    <s v="Marketplace"/>
    <s v="NULL"/>
    <x v="1"/>
    <s v="USD"/>
    <n v="20.38"/>
    <n v="1.63"/>
    <n v="0"/>
    <n v="-3.06"/>
    <n v="-0.08"/>
    <n v="0"/>
    <n v="0"/>
    <n v="0"/>
    <n v="0"/>
    <n v="0"/>
    <n v="0"/>
    <n v="0"/>
    <n v="0"/>
    <n v="0"/>
    <n v="18.87"/>
    <n v="0"/>
    <n v="0"/>
    <n v="20.38"/>
    <n v="0"/>
    <n v="0"/>
    <n v="585632794"/>
  </r>
  <r>
    <d v="2026-06-06T00:04:53"/>
    <d v="2026-06-06T00:00:00"/>
    <d v="2026-06-05T19:04:53"/>
    <d v="2026-06-05T00:00:00"/>
    <d v="2026-06-05T18:48:08"/>
    <d v="2026-06-05T19:04:52"/>
    <d v="2026-06-11T13:03:54"/>
    <d v="2026-06-11T00:00:00"/>
    <n v="11717"/>
    <s v="Country Burger"/>
    <n v="241736"/>
    <s v="Country Burger (Murphy Rd)"/>
    <s v="NULL"/>
    <s v="Order"/>
    <s v="4a8574ab-165b-3001-80c0-733e6252c9a4"/>
    <n v="17373705307"/>
    <s v="6252C9A4"/>
    <s v="7e453307-3c3d-40d1-9d25-09a57c3682a0"/>
    <s v="d83deeb7-77da-43b1-a23a-0eeb3e1f0c81"/>
    <s v="Marketplace"/>
    <s v="NULL"/>
    <x v="1"/>
    <s v="USD"/>
    <n v="44.3"/>
    <n v="2.9"/>
    <n v="0"/>
    <n v="-5.45"/>
    <n v="-0.14000000000000001"/>
    <n v="0"/>
    <n v="0"/>
    <n v="-8"/>
    <n v="0"/>
    <n v="0"/>
    <n v="0"/>
    <n v="0"/>
    <n v="0"/>
    <n v="0"/>
    <n v="33.61"/>
    <n v="0"/>
    <n v="0"/>
    <n v="36.299999999999997"/>
    <n v="0"/>
    <n v="0"/>
    <n v="585632794"/>
  </r>
  <r>
    <d v="2026-06-06T00:01:55"/>
    <d v="2026-06-06T00:00:00"/>
    <d v="2026-06-05T19:01:55"/>
    <d v="2026-06-05T00:00:00"/>
    <d v="2026-06-05T18:37:23"/>
    <d v="2026-06-05T19:01:54"/>
    <d v="2026-06-11T13:03:54"/>
    <d v="2026-06-11T00:00:00"/>
    <n v="11717"/>
    <s v="Country Burger"/>
    <n v="241736"/>
    <s v="Country Burger (Murphy Rd)"/>
    <s v="NULL"/>
    <s v="Order"/>
    <s v="098e4601-e9aa-3001-8912-40e14351aae5"/>
    <n v="17373655285"/>
    <s v="4351AAE5"/>
    <s v="c43a9602-c556-4df8-8f3c-457c38d2c7d0"/>
    <s v="49b362bd-acee-4f5b-bdbf-7124a0b7eee8"/>
    <s v="Marketplace"/>
    <s v="NULL"/>
    <x v="1"/>
    <s v="USD"/>
    <n v="35.979999999999997"/>
    <n v="2.88"/>
    <n v="0"/>
    <n v="-5.4"/>
    <n v="-0.14000000000000001"/>
    <n v="0"/>
    <n v="0"/>
    <n v="0"/>
    <n v="0"/>
    <n v="0"/>
    <n v="0"/>
    <n v="0"/>
    <n v="0"/>
    <n v="0"/>
    <n v="33.32"/>
    <n v="0"/>
    <n v="0"/>
    <n v="35.979999999999997"/>
    <n v="0"/>
    <n v="0"/>
    <n v="585632794"/>
  </r>
  <r>
    <d v="2026-06-05T22:30:35"/>
    <d v="2026-06-05T00:00:00"/>
    <d v="2026-06-05T17:30:35"/>
    <d v="2026-06-05T00:00:00"/>
    <d v="2026-06-05T17:21:21"/>
    <d v="2026-06-05T17:30:34"/>
    <d v="2026-06-11T13:03:54"/>
    <d v="2026-06-11T00:00:00"/>
    <n v="11717"/>
    <s v="Country Burger"/>
    <n v="241736"/>
    <s v="Country Burger (Murphy Rd)"/>
    <s v="NULL"/>
    <s v="Order"/>
    <s v="f0fffec4-dda5-3001-a08f-a5eb273eb52d"/>
    <n v="17372182164"/>
    <s v="273EB52D"/>
    <s v="2af3b968-6ab8-41e6-a170-5ec02b7bb3f3"/>
    <s v="ec72f70b-f5b7-4885-9a9e-6413f4a922f4"/>
    <s v="Marketplace"/>
    <s v="NULL"/>
    <x v="1"/>
    <s v="USD"/>
    <n v="32.22"/>
    <n v="2.58"/>
    <n v="0"/>
    <n v="-4.83"/>
    <n v="-0.13"/>
    <n v="0"/>
    <n v="0"/>
    <n v="0"/>
    <n v="-1"/>
    <n v="0"/>
    <n v="1"/>
    <n v="0"/>
    <n v="0"/>
    <n v="0"/>
    <n v="29.84"/>
    <n v="0"/>
    <n v="0"/>
    <n v="32.22"/>
    <n v="0"/>
    <n v="0"/>
    <n v="585632794"/>
  </r>
  <r>
    <d v="2026-06-05T22:24:15"/>
    <d v="2026-06-05T00:00:00"/>
    <d v="2026-06-05T17:24:15"/>
    <d v="2026-06-05T00:00:00"/>
    <d v="2026-06-05T16:55:13"/>
    <d v="2026-06-05T17:24:14"/>
    <d v="2026-06-11T13:03:54"/>
    <d v="2026-06-11T00:00:00"/>
    <n v="11717"/>
    <s v="Country Burger"/>
    <n v="241736"/>
    <s v="Country Burger (Murphy Rd)"/>
    <s v="NULL"/>
    <s v="Order"/>
    <s v="c4589c17-799f-3001-a868-6521282ef23a"/>
    <n v="17372086740"/>
    <s v="282EF23A"/>
    <s v="e9ec2c05-8dbc-4eb3-b642-a4fc1a58fd57"/>
    <s v="cbe0d523-2988-4714-93eb-806a9f581448"/>
    <s v="Marketplace"/>
    <s v="NULL"/>
    <x v="1"/>
    <s v="USD"/>
    <n v="36.479999999999997"/>
    <n v="2.12"/>
    <n v="0"/>
    <n v="-5.47"/>
    <n v="-0.14000000000000001"/>
    <n v="0"/>
    <n v="0"/>
    <n v="0"/>
    <n v="-10"/>
    <n v="0"/>
    <n v="10"/>
    <n v="0"/>
    <n v="0"/>
    <n v="0"/>
    <n v="32.99"/>
    <n v="0"/>
    <n v="0"/>
    <n v="26.48"/>
    <n v="0"/>
    <n v="0"/>
    <n v="585632794"/>
  </r>
  <r>
    <d v="2026-06-05T21:45:29"/>
    <d v="2026-06-05T00:00:00"/>
    <d v="2026-06-05T16:45:29"/>
    <d v="2026-06-05T00:00:00"/>
    <d v="2026-06-05T16:38:22"/>
    <d v="2026-06-05T16:45:28"/>
    <d v="2026-06-11T13:03:54"/>
    <d v="2026-06-11T00:00:00"/>
    <n v="11717"/>
    <s v="Country Burger"/>
    <n v="241736"/>
    <s v="Country Burger (Murphy Rd)"/>
    <s v="NULL"/>
    <s v="Order"/>
    <s v="c833a6c1-8204-3001-a44a-80befcf4f5d1"/>
    <n v="17371555861"/>
    <s v="FCF4F5D1"/>
    <s v="59edc103-d54c-43b5-9214-0bed47f75b8c"/>
    <s v="e7333652-ecce-4455-8317-3c06628af3f0"/>
    <s v="Marketplace"/>
    <s v="NULL"/>
    <x v="1"/>
    <s v="USD"/>
    <n v="10.5"/>
    <n v="0.84"/>
    <n v="0"/>
    <n v="-1.58"/>
    <n v="-0.04"/>
    <n v="0"/>
    <n v="0"/>
    <n v="0"/>
    <n v="0"/>
    <n v="0"/>
    <n v="0"/>
    <n v="0"/>
    <n v="0"/>
    <n v="0"/>
    <n v="9.7200000000000006"/>
    <n v="0"/>
    <n v="0"/>
    <n v="10.5"/>
    <n v="0"/>
    <n v="0"/>
    <n v="585632794"/>
  </r>
  <r>
    <d v="2026-06-05T18:33:19"/>
    <d v="2026-06-05T00:00:00"/>
    <d v="2026-06-05T13:33:19"/>
    <d v="2026-06-05T00:00:00"/>
    <d v="2026-06-05T12:02:40"/>
    <d v="2026-06-05T13:33:19"/>
    <d v="2026-06-11T13:03:54"/>
    <d v="2026-06-11T00:00:00"/>
    <n v="11717"/>
    <s v="Country Burger"/>
    <n v="241736"/>
    <s v="Country Burger (Murphy Rd)"/>
    <s v="NULL"/>
    <s v="Order"/>
    <s v="2507899f-8b91-3001-bd6b-8e142edbfb10"/>
    <n v="17369397270"/>
    <s v="2EDBFB10"/>
    <s v="a0af0155-bb74-43c6-8b7e-4a266a9d32c1"/>
    <s v="c8652f4c-005d-413e-946a-a143cc4af608"/>
    <s v="Marketplace"/>
    <s v="NULL"/>
    <x v="0"/>
    <s v="USD"/>
    <n v="30.47"/>
    <n v="2.44"/>
    <n v="4.93"/>
    <n v="-1.83"/>
    <n v="-0.12"/>
    <n v="0"/>
    <n v="0"/>
    <n v="0"/>
    <n v="0"/>
    <n v="0"/>
    <n v="0"/>
    <n v="0"/>
    <n v="0"/>
    <n v="0"/>
    <n v="35.89"/>
    <n v="0"/>
    <n v="0"/>
    <n v="30.47"/>
    <n v="0"/>
    <n v="0"/>
    <n v="585632794"/>
  </r>
  <r>
    <d v="2026-06-05T17:34:17"/>
    <d v="2026-06-05T00:00:00"/>
    <d v="2026-06-05T12:34:17"/>
    <d v="2026-06-05T00:00:00"/>
    <d v="2026-06-05T12:22:11"/>
    <d v="2026-06-05T12:34:16"/>
    <d v="2026-06-11T13:03:54"/>
    <d v="2026-06-11T00:00:00"/>
    <n v="11717"/>
    <s v="Country Burger"/>
    <n v="241736"/>
    <s v="Country Burger (Murphy Rd)"/>
    <s v="NULL"/>
    <s v="Order"/>
    <s v="549ea637-6171-3001-bb75-f44615c6183f"/>
    <n v="17368715159"/>
    <s v="15C6183F"/>
    <s v="3bef894c-2e74-4d20-89e8-7cd64154ecc9"/>
    <s v="ed4ce4b2-e475-40ae-9869-34830f84f6fc"/>
    <s v="Marketplace"/>
    <s v="NULL"/>
    <x v="1"/>
    <s v="USD"/>
    <n v="27.46"/>
    <n v="2.2000000000000002"/>
    <n v="0"/>
    <n v="-4.12"/>
    <n v="-0.11"/>
    <n v="0"/>
    <n v="0"/>
    <n v="0"/>
    <n v="0"/>
    <n v="0"/>
    <n v="0"/>
    <n v="0"/>
    <n v="0"/>
    <n v="0"/>
    <n v="25.43"/>
    <n v="0"/>
    <n v="0"/>
    <n v="27.46"/>
    <n v="0"/>
    <n v="0"/>
    <n v="585632794"/>
  </r>
  <r>
    <d v="2026-06-05T01:34:21"/>
    <d v="2026-06-05T00:00:00"/>
    <d v="2026-06-04T20:34:21"/>
    <d v="2026-06-04T00:00:00"/>
    <d v="2026-06-04T18:57:16"/>
    <d v="2026-06-04T20:34:20"/>
    <d v="2026-06-11T13:03:54"/>
    <d v="2026-06-11T00:00:00"/>
    <n v="11717"/>
    <s v="Country Burger"/>
    <n v="241736"/>
    <s v="Country Burger (Murphy Rd)"/>
    <s v="NULL"/>
    <s v="Order"/>
    <s v="dbf47092-c687-3001-ac0b-5dc9a1721931"/>
    <n v="17363160572"/>
    <s v="A1721931"/>
    <s v="d134ad7b-b10b-4148-94b2-6eb747ec56b5"/>
    <s v="68abb58a-02d4-4614-b9a0-9098a1e75098"/>
    <s v="Marketplace"/>
    <s v="NULL"/>
    <x v="0"/>
    <s v="USD"/>
    <n v="15.69"/>
    <n v="1.26"/>
    <n v="0"/>
    <n v="-0.94"/>
    <n v="-0.06"/>
    <n v="0"/>
    <n v="0"/>
    <n v="0"/>
    <n v="0"/>
    <n v="0"/>
    <n v="0"/>
    <n v="0"/>
    <n v="0"/>
    <n v="0"/>
    <n v="15.95"/>
    <n v="0"/>
    <n v="0"/>
    <n v="15.69"/>
    <n v="0"/>
    <n v="0"/>
    <n v="585632794"/>
  </r>
  <r>
    <d v="2026-06-05T01:23:10"/>
    <d v="2026-06-05T00:00:00"/>
    <d v="2026-06-04T20:23:10"/>
    <d v="2026-06-04T00:00:00"/>
    <d v="2026-06-04T20:07:24"/>
    <d v="2026-06-04T20:23:09"/>
    <d v="2026-06-11T13:03:54"/>
    <d v="2026-06-11T00:00:00"/>
    <n v="11717"/>
    <s v="Country Burger"/>
    <n v="241736"/>
    <s v="Country Burger (Murphy Rd)"/>
    <s v="NULL"/>
    <s v="Order"/>
    <s v="b1949cee-ef5d-3001-8d9b-f514bfed1a7c"/>
    <n v="17362995286"/>
    <s v="BFED1A7C"/>
    <s v="410f2982-a0ce-4d06-b56b-016d46c36a9f"/>
    <s v="ec66cde2-4acf-4390-b9da-d9061fcdcef0"/>
    <s v="Marketplace"/>
    <s v="NULL"/>
    <x v="1"/>
    <s v="USD"/>
    <n v="27.57"/>
    <n v="2.21"/>
    <n v="0"/>
    <n v="-4.1399999999999997"/>
    <n v="-0.11"/>
    <n v="0"/>
    <n v="0"/>
    <n v="0"/>
    <n v="0"/>
    <n v="0"/>
    <n v="0"/>
    <n v="0"/>
    <n v="0"/>
    <n v="0"/>
    <n v="25.53"/>
    <n v="0"/>
    <n v="0"/>
    <n v="27.57"/>
    <n v="0"/>
    <n v="0"/>
    <n v="585632794"/>
  </r>
  <r>
    <d v="2026-06-05T00:48:29"/>
    <d v="2026-06-05T00:00:00"/>
    <d v="2026-06-04T19:48:29"/>
    <d v="2026-06-04T00:00:00"/>
    <d v="2026-06-04T19:34:40"/>
    <d v="2026-06-04T19:48:28"/>
    <d v="2026-06-11T13:03:54"/>
    <d v="2026-06-11T00:00:00"/>
    <n v="11717"/>
    <s v="Country Burger"/>
    <n v="241736"/>
    <s v="Country Burger (Murphy Rd)"/>
    <s v="NULL"/>
    <s v="Order"/>
    <s v="c29ba52c-694f-3001-87a1-27a45f80ced8"/>
    <n v="17362473427"/>
    <s v="5F80CED8"/>
    <s v="97cf108e-323e-4af8-9676-0e4ffc457361"/>
    <s v="9b15153e-577d-438f-8ecb-6959fb441cad"/>
    <s v="Marketplace"/>
    <s v="NULL"/>
    <x v="1"/>
    <s v="USD"/>
    <n v="35.32"/>
    <n v="2.83"/>
    <n v="0"/>
    <n v="-5.3"/>
    <n v="-0.14000000000000001"/>
    <n v="0"/>
    <n v="0"/>
    <n v="0"/>
    <n v="0"/>
    <n v="0"/>
    <n v="0"/>
    <n v="0"/>
    <n v="0"/>
    <n v="0"/>
    <n v="32.71"/>
    <n v="0"/>
    <n v="0"/>
    <n v="35.32"/>
    <n v="0"/>
    <n v="0"/>
    <n v="585632794"/>
  </r>
  <r>
    <d v="2026-06-05T00:42:18"/>
    <d v="2026-06-05T00:00:00"/>
    <d v="2026-06-04T19:42:18"/>
    <d v="2026-06-04T00:00:00"/>
    <d v="2026-06-04T19:14:47"/>
    <d v="2026-06-04T19:42:17"/>
    <d v="2026-06-11T13:03:54"/>
    <d v="2026-06-11T00:00:00"/>
    <n v="11717"/>
    <s v="Country Burger"/>
    <n v="241736"/>
    <s v="Country Burger (Murphy Rd)"/>
    <s v="NULL"/>
    <s v="Order"/>
    <s v="0444bd10-516e-3001-afc4-080e3ee152b9"/>
    <n v="17362378458"/>
    <s v="3EE152B9"/>
    <s v="f52aced8-f58e-449d-807a-1b21dc05d0b8"/>
    <s v="37913132-0c64-4da5-a5b2-fed9bb4a74b2"/>
    <s v="Marketplace"/>
    <s v="NULL"/>
    <x v="1"/>
    <s v="USD"/>
    <n v="44.12"/>
    <n v="3.53"/>
    <n v="0"/>
    <n v="-6.62"/>
    <n v="-0.17"/>
    <n v="0"/>
    <n v="0"/>
    <n v="0"/>
    <n v="0"/>
    <n v="0"/>
    <n v="0"/>
    <n v="0"/>
    <n v="0"/>
    <n v="0"/>
    <n v="40.86"/>
    <n v="0"/>
    <n v="0"/>
    <n v="44.12"/>
    <n v="0"/>
    <n v="0"/>
    <n v="585632794"/>
  </r>
  <r>
    <d v="2026-06-05T00:10:47"/>
    <d v="2026-06-05T00:00:00"/>
    <d v="2026-06-04T19:10:47"/>
    <d v="2026-06-04T00:00:00"/>
    <d v="2026-06-04T18:54:46"/>
    <d v="2026-06-04T19:10:46"/>
    <d v="2026-06-11T13:03:54"/>
    <d v="2026-06-11T00:00:00"/>
    <n v="11717"/>
    <s v="Country Burger"/>
    <n v="241736"/>
    <s v="Country Burger (Murphy Rd)"/>
    <s v="NULL"/>
    <s v="Order"/>
    <s v="d32fe83b-2311-3001-b09b-94f19b3c6350"/>
    <n v="17361877881"/>
    <s v="9B3C6350"/>
    <s v="446db5a2-66db-4528-8674-04926a9505f5"/>
    <s v="2d90cfa0-0caf-4201-908d-1f5e2fe817af"/>
    <s v="Marketplace"/>
    <s v="NULL"/>
    <x v="1"/>
    <s v="USD"/>
    <n v="38.58"/>
    <n v="2.4500000000000002"/>
    <n v="0"/>
    <n v="-4.59"/>
    <n v="-0.12"/>
    <n v="0"/>
    <n v="0"/>
    <n v="-8"/>
    <n v="-2"/>
    <n v="0"/>
    <n v="2"/>
    <n v="0"/>
    <n v="0"/>
    <n v="0"/>
    <n v="28.32"/>
    <n v="0"/>
    <n v="0"/>
    <n v="30.58"/>
    <n v="0"/>
    <n v="0"/>
    <n v="585632794"/>
  </r>
  <r>
    <d v="2026-06-04T23:47:09"/>
    <d v="2026-06-04T00:00:00"/>
    <d v="2026-06-04T18:47:09"/>
    <d v="2026-06-04T00:00:00"/>
    <d v="2026-06-04T18:32:47"/>
    <d v="2026-06-04T18:47:08"/>
    <d v="2026-06-11T13:03:54"/>
    <d v="2026-06-11T00:00:00"/>
    <n v="11717"/>
    <s v="Country Burger"/>
    <n v="241736"/>
    <s v="Country Burger (Murphy Rd)"/>
    <s v="NULL"/>
    <s v="Order"/>
    <s v="5216f630-583c-3001-8331-e19bec53c3b5"/>
    <n v="17361505398"/>
    <s v="EC53C3B5"/>
    <s v="1238b723-95dd-4b47-b50e-4566fe171505"/>
    <s v="28debc8b-ba97-40cc-8d01-7a7f6c4fa018"/>
    <s v="Marketplace"/>
    <s v="NULL"/>
    <x v="1"/>
    <s v="USD"/>
    <n v="20.58"/>
    <n v="1.65"/>
    <n v="0"/>
    <n v="-3.09"/>
    <n v="-0.08"/>
    <n v="0"/>
    <n v="0"/>
    <n v="0"/>
    <n v="0"/>
    <n v="0"/>
    <n v="0"/>
    <n v="0"/>
    <n v="0"/>
    <n v="0"/>
    <n v="19.059999999999999"/>
    <n v="0"/>
    <n v="0"/>
    <n v="20.58"/>
    <n v="0"/>
    <n v="0"/>
    <n v="585632794"/>
  </r>
  <r>
    <d v="2026-06-04T23:20:03"/>
    <d v="2026-06-04T00:00:00"/>
    <d v="2026-06-04T18:20:03"/>
    <d v="2026-06-04T00:00:00"/>
    <d v="2026-06-04T18:04:23"/>
    <d v="2026-06-04T18:20:02"/>
    <d v="2026-06-11T13:03:54"/>
    <d v="2026-06-11T00:00:00"/>
    <n v="11717"/>
    <s v="Country Burger"/>
    <n v="241736"/>
    <s v="Country Burger (Murphy Rd)"/>
    <s v="NULL"/>
    <s v="Order"/>
    <s v="56b7a04a-0182-3001-8964-1698bce07775"/>
    <n v="17361072065"/>
    <s v="BCE07775"/>
    <s v="fde6c25b-3d06-4ad7-beb5-0d99928642de"/>
    <s v="0ec5589b-498c-4def-a056-0a228767d4ee"/>
    <s v="Marketplace"/>
    <s v="NULL"/>
    <x v="1"/>
    <s v="USD"/>
    <n v="13.59"/>
    <n v="1.0900000000000001"/>
    <n v="0"/>
    <n v="-2.04"/>
    <n v="-0.05"/>
    <n v="0"/>
    <n v="0"/>
    <n v="0"/>
    <n v="0"/>
    <n v="0"/>
    <n v="0"/>
    <n v="0"/>
    <n v="0"/>
    <n v="0"/>
    <n v="12.59"/>
    <n v="0"/>
    <n v="0"/>
    <n v="13.59"/>
    <n v="0"/>
    <n v="0"/>
    <n v="585632794"/>
  </r>
  <r>
    <d v="2026-06-04T23:12:20"/>
    <d v="2026-06-04T00:00:00"/>
    <d v="2026-06-04T18:12:20"/>
    <d v="2026-06-04T00:00:00"/>
    <d v="2026-06-04T17:56:09"/>
    <d v="2026-06-04T18:12:19"/>
    <d v="2026-06-11T13:03:54"/>
    <d v="2026-06-11T00:00:00"/>
    <n v="11717"/>
    <s v="Country Burger"/>
    <n v="241736"/>
    <s v="Country Burger (Murphy Rd)"/>
    <s v="NULL"/>
    <s v="Order"/>
    <s v="82d83f35-cea0-3001-be6d-daa3fc2def62"/>
    <n v="17360960946"/>
    <s v="FC2DEF62"/>
    <s v="4ae88d78-c0f7-4618-96e3-cb0cf08c1c11"/>
    <s v="695acbea-e154-4c73-92b9-e2ac4e734624"/>
    <s v="Marketplace"/>
    <s v="NULL"/>
    <x v="1"/>
    <s v="USD"/>
    <n v="11.09"/>
    <n v="0.89"/>
    <n v="0"/>
    <n v="-1.66"/>
    <n v="-0.04"/>
    <n v="0"/>
    <n v="0"/>
    <n v="0"/>
    <n v="0"/>
    <n v="0"/>
    <n v="0"/>
    <n v="0"/>
    <n v="0"/>
    <n v="0"/>
    <n v="10.28"/>
    <n v="0"/>
    <n v="0"/>
    <n v="11.09"/>
    <n v="0"/>
    <n v="0"/>
    <n v="585632794"/>
  </r>
  <r>
    <d v="2026-06-04T22:58:13"/>
    <d v="2026-06-04T00:00:00"/>
    <d v="2026-06-04T17:58:13"/>
    <d v="2026-06-04T00:00:00"/>
    <d v="2026-06-04T17:38:50"/>
    <d v="2026-06-04T17:58:12"/>
    <d v="2026-06-11T13:03:54"/>
    <d v="2026-06-11T00:00:00"/>
    <n v="11717"/>
    <s v="Country Burger"/>
    <n v="241736"/>
    <s v="Country Burger (Murphy Rd)"/>
    <s v="NULL"/>
    <s v="Order"/>
    <s v="ba622b66-5028-3001-b802-87a8123cf1a3"/>
    <n v="17360746650"/>
    <s v="123CF1A3"/>
    <s v="f065868d-8315-4b31-b51d-5c922a56d85a"/>
    <s v="91d2913d-3b23-4775-8f8a-a2a5fd3d2fa5"/>
    <s v="Marketplace"/>
    <s v="NULL"/>
    <x v="1"/>
    <s v="USD"/>
    <n v="22.18"/>
    <n v="1.77"/>
    <n v="0"/>
    <n v="-3.33"/>
    <n v="-0.09"/>
    <n v="0"/>
    <n v="0"/>
    <n v="0"/>
    <n v="0"/>
    <n v="0"/>
    <n v="0"/>
    <n v="0"/>
    <n v="0"/>
    <n v="0"/>
    <n v="20.53"/>
    <n v="0"/>
    <n v="0"/>
    <n v="22.18"/>
    <n v="0"/>
    <n v="0"/>
    <n v="585632794"/>
  </r>
  <r>
    <d v="2026-06-04T22:52:45"/>
    <d v="2026-06-04T00:00:00"/>
    <d v="2026-06-04T17:52:45"/>
    <d v="2026-06-04T00:00:00"/>
    <d v="2026-06-04T17:37:19"/>
    <d v="2026-06-04T17:52:25"/>
    <d v="2026-06-11T13:03:54"/>
    <d v="2026-06-11T00:00:00"/>
    <n v="11717"/>
    <s v="Country Burger"/>
    <n v="241736"/>
    <s v="Country Burger (Murphy Rd)"/>
    <s v="NULL"/>
    <s v="Order"/>
    <s v="8b1785b1-9705-3001-ab8f-db600aada49e"/>
    <n v="17360671798"/>
    <s v="0AADA49E"/>
    <s v="ce82dde1-d8a2-4911-a1ef-78971144db22"/>
    <s v="3433378d-874a-4da0-8570-7d2494604dca"/>
    <s v="Marketplace"/>
    <s v="NULL"/>
    <x v="1"/>
    <s v="USD"/>
    <n v="32.58"/>
    <n v="2.61"/>
    <n v="0"/>
    <n v="-4.8899999999999997"/>
    <n v="-0.13"/>
    <n v="0"/>
    <n v="0"/>
    <n v="0"/>
    <n v="0"/>
    <n v="0"/>
    <n v="0"/>
    <n v="0"/>
    <n v="0"/>
    <n v="0"/>
    <n v="30.17"/>
    <n v="0"/>
    <n v="0"/>
    <n v="32.58"/>
    <n v="0"/>
    <n v="0"/>
    <n v="585632794"/>
  </r>
  <r>
    <d v="2026-06-04T22:36:52"/>
    <d v="2026-06-04T00:00:00"/>
    <d v="2026-06-04T17:36:52"/>
    <d v="2026-06-04T00:00:00"/>
    <d v="2026-06-04T17:24:59"/>
    <d v="2026-06-04T17:36:51"/>
    <d v="2026-06-11T13:03:54"/>
    <d v="2026-06-11T00:00:00"/>
    <n v="11717"/>
    <s v="Country Burger"/>
    <n v="241736"/>
    <s v="Country Burger (Murphy Rd)"/>
    <s v="NULL"/>
    <s v="Order"/>
    <s v="b2cd4289-1510-3001-a5cd-41f4ad303cb3"/>
    <n v="17360452602"/>
    <s v="AD303CB3"/>
    <s v="1de71f6d-55db-4af3-9eb0-efb12aa981e9"/>
    <s v="6889cb9f-f699-4d29-8dbc-fa650d10be5e"/>
    <s v="Marketplace"/>
    <s v="NULL"/>
    <x v="1"/>
    <s v="USD"/>
    <n v="22.52"/>
    <n v="1.8"/>
    <n v="0"/>
    <n v="-3.38"/>
    <n v="-0.09"/>
    <n v="0"/>
    <n v="0"/>
    <n v="0"/>
    <n v="0"/>
    <n v="0"/>
    <n v="0"/>
    <n v="0"/>
    <n v="0"/>
    <n v="0"/>
    <n v="20.85"/>
    <n v="0"/>
    <n v="0"/>
    <n v="22.52"/>
    <n v="0"/>
    <n v="0"/>
    <n v="585632794"/>
  </r>
  <r>
    <d v="2026-06-04T22:33:24"/>
    <d v="2026-06-04T00:00:00"/>
    <d v="2026-06-04T17:33:24"/>
    <d v="2026-06-04T00:00:00"/>
    <d v="2026-06-04T17:16:01"/>
    <d v="2026-06-04T17:33:23"/>
    <d v="2026-06-11T13:03:54"/>
    <d v="2026-06-11T00:00:00"/>
    <n v="11717"/>
    <s v="Country Burger"/>
    <n v="241736"/>
    <s v="Country Burger (Murphy Rd)"/>
    <s v="NULL"/>
    <s v="Order"/>
    <s v="d3c4a1c5-b9cb-3001-9f48-d7f464f5c2e8"/>
    <n v="17360405726"/>
    <s v="64F5C2E8"/>
    <s v="3d2f8d59-8992-4438-978d-5368db28521a"/>
    <s v="ac6edfdc-5ec5-4c2e-ae7b-25140120cfe9"/>
    <s v="Marketplace"/>
    <s v="NULL"/>
    <x v="1"/>
    <s v="USD"/>
    <n v="36.049999999999997"/>
    <n v="2.88"/>
    <n v="0"/>
    <n v="-5.41"/>
    <n v="-0.14000000000000001"/>
    <n v="0"/>
    <n v="0"/>
    <n v="0"/>
    <n v="0"/>
    <n v="0"/>
    <n v="0"/>
    <n v="0"/>
    <n v="0"/>
    <n v="0"/>
    <n v="33.380000000000003"/>
    <n v="0"/>
    <n v="0"/>
    <n v="36.049999999999997"/>
    <n v="0"/>
    <n v="0"/>
    <n v="585632794"/>
  </r>
  <r>
    <d v="2026-06-04T22:05:32"/>
    <d v="2026-06-04T00:00:00"/>
    <d v="2026-06-04T17:05:32"/>
    <d v="2026-06-04T00:00:00"/>
    <d v="2026-06-04T16:51:04"/>
    <d v="2026-06-04T17:05:30"/>
    <d v="2026-06-11T13:03:54"/>
    <d v="2026-06-11T00:00:00"/>
    <n v="11717"/>
    <s v="Country Burger"/>
    <n v="241736"/>
    <s v="Country Burger (Murphy Rd)"/>
    <s v="NULL"/>
    <s v="Order"/>
    <s v="9abe6aee-a9ae-3001-be45-9a5639170e3c"/>
    <n v="17360040440"/>
    <s v="39170E3C"/>
    <s v="31a42e46-ccf6-4d95-85c7-c687b1ede29b"/>
    <s v="dc9a0874-6ea0-443d-a631-167e2bafd0a9"/>
    <s v="Marketplace"/>
    <s v="NULL"/>
    <x v="1"/>
    <s v="USD"/>
    <n v="41.52"/>
    <n v="3.32"/>
    <n v="0"/>
    <n v="-6.23"/>
    <n v="-0.16"/>
    <n v="0"/>
    <n v="0"/>
    <n v="0"/>
    <n v="0"/>
    <n v="0"/>
    <n v="0"/>
    <n v="0"/>
    <n v="0"/>
    <n v="0"/>
    <n v="38.450000000000003"/>
    <n v="0"/>
    <n v="0"/>
    <n v="41.52"/>
    <n v="0"/>
    <n v="0"/>
    <n v="585632794"/>
  </r>
  <r>
    <d v="2026-06-04T21:58:18"/>
    <d v="2026-06-04T00:00:00"/>
    <d v="2026-06-04T16:58:18"/>
    <d v="2026-06-04T00:00:00"/>
    <d v="2026-06-04T16:40:32"/>
    <d v="2026-06-04T16:58:17"/>
    <d v="2026-06-11T13:03:54"/>
    <d v="2026-06-11T00:00:00"/>
    <n v="11717"/>
    <s v="Country Burger"/>
    <n v="241736"/>
    <s v="Country Burger (Murphy Rd)"/>
    <s v="NULL"/>
    <s v="Order"/>
    <s v="04ba9f12-4589-3001-b199-ec56aa426e2b"/>
    <n v="17359944503"/>
    <s v="AA426E2B"/>
    <s v="021c2bb3-3985-4e11-a5f3-274acc41d95f"/>
    <s v="1c2b573f-e569-476c-8f45-b4cea2b42ef2"/>
    <s v="Marketplace"/>
    <s v="NULL"/>
    <x v="1"/>
    <s v="USD"/>
    <n v="19.98"/>
    <n v="1.6"/>
    <n v="0"/>
    <n v="-3"/>
    <n v="-0.08"/>
    <n v="0"/>
    <n v="0"/>
    <n v="0"/>
    <n v="0"/>
    <n v="0"/>
    <n v="0"/>
    <n v="0"/>
    <n v="0"/>
    <n v="0"/>
    <n v="18.5"/>
    <n v="0"/>
    <n v="0"/>
    <n v="19.98"/>
    <n v="0"/>
    <n v="0"/>
    <n v="585632794"/>
  </r>
  <r>
    <d v="2026-06-04T20:34:22"/>
    <d v="2026-06-04T00:00:00"/>
    <d v="2026-06-04T15:34:22"/>
    <d v="2026-06-04T00:00:00"/>
    <d v="2026-06-04T15:24:15"/>
    <d v="2026-06-04T15:34:21"/>
    <d v="2026-06-11T13:03:54"/>
    <d v="2026-06-11T00:00:00"/>
    <n v="11717"/>
    <s v="Country Burger"/>
    <n v="241736"/>
    <s v="Country Burger (Murphy Rd)"/>
    <s v="NULL"/>
    <s v="Order"/>
    <s v="8d329fa8-370e-3001-900d-c10552f294c0"/>
    <n v="17359025943"/>
    <s v="52F294C0"/>
    <s v="7b32e36a-1031-4aef-8b0e-ca53645a8b0d"/>
    <s v="58ea4cc0-1bad-4fb6-8d3d-bf4f1c2354d5"/>
    <s v="Marketplace"/>
    <s v="NULL"/>
    <x v="1"/>
    <s v="USD"/>
    <n v="13.48"/>
    <n v="0.65"/>
    <n v="0"/>
    <n v="-2.02"/>
    <n v="-0.05"/>
    <n v="0"/>
    <n v="0"/>
    <n v="0"/>
    <n v="-5.39"/>
    <n v="0"/>
    <n v="5.39"/>
    <n v="0"/>
    <n v="0"/>
    <n v="0"/>
    <n v="12.06"/>
    <n v="0"/>
    <n v="0"/>
    <n v="8.09"/>
    <n v="0"/>
    <n v="0"/>
    <n v="585632794"/>
  </r>
  <r>
    <d v="2026-06-04T18:16:36"/>
    <d v="2026-06-04T00:00:00"/>
    <d v="2026-06-04T13:16:36"/>
    <d v="2026-06-04T00:00:00"/>
    <d v="2026-06-04T12:55:29"/>
    <d v="2026-06-04T13:16:35"/>
    <d v="2026-06-11T13:03:54"/>
    <d v="2026-06-11T00:00:00"/>
    <n v="11717"/>
    <s v="Country Burger"/>
    <n v="241736"/>
    <s v="Country Burger (Murphy Rd)"/>
    <s v="NULL"/>
    <s v="Order"/>
    <s v="512a3217-4809-3001-9c02-a7d1e8daec47"/>
    <n v="17357594122"/>
    <s v="E8DAEC47"/>
    <s v="e267342b-0892-4cc7-a402-22eeb946c271"/>
    <s v="6dd0014f-5cd0-424d-ac15-3ba7d24dbc29"/>
    <s v="Marketplace"/>
    <s v="NULL"/>
    <x v="1"/>
    <s v="USD"/>
    <n v="56.46"/>
    <n v="4.5199999999999996"/>
    <n v="0"/>
    <n v="-8.4700000000000006"/>
    <n v="-0.22"/>
    <n v="0"/>
    <n v="0"/>
    <n v="0"/>
    <n v="0"/>
    <n v="0"/>
    <n v="0"/>
    <n v="0"/>
    <n v="0"/>
    <n v="0"/>
    <n v="52.29"/>
    <n v="0"/>
    <n v="0"/>
    <n v="56.46"/>
    <n v="0"/>
    <n v="0"/>
    <n v="585632794"/>
  </r>
  <r>
    <d v="2026-06-04T08:16:57"/>
    <d v="2026-06-04T00:00:00"/>
    <d v="2026-06-04T03:16:57"/>
    <d v="2026-06-04T00:00:00"/>
    <d v="2026-06-03T14:55:29"/>
    <d v="2026-06-03T15:09:00"/>
    <d v="2026-06-11T13:03:54"/>
    <d v="2026-06-11T00:00:00"/>
    <n v="11717"/>
    <s v="Country Burger"/>
    <n v="241736"/>
    <s v="Country Burger (Murphy Rd)"/>
    <s v="NULL"/>
    <s v="Error Charge"/>
    <s v="04eb4c8c-b3a7-3001-8c0b-e34052544d84"/>
    <n v="17354364593"/>
    <s v="52544D84"/>
    <s v="a85fd6a1-4072-48cf-b4a0-7eedac5f7191"/>
    <s v="3855f960-388b-460d-be1d-0ae6eac96828"/>
    <s v="Marketplace"/>
    <s v="1 Chicken Fried Chicken Sandwich missing"/>
    <x v="1"/>
    <s v="USD"/>
    <n v="0"/>
    <n v="0"/>
    <n v="0"/>
    <n v="0"/>
    <n v="0"/>
    <n v="0"/>
    <n v="0"/>
    <n v="0"/>
    <n v="0"/>
    <n v="0"/>
    <n v="0"/>
    <n v="0"/>
    <n v="-2.54"/>
    <n v="0"/>
    <n v="-2.54"/>
    <n v="0"/>
    <n v="0"/>
    <n v="0"/>
    <n v="0"/>
    <n v="0"/>
    <n v="585632794"/>
  </r>
  <r>
    <d v="2026-06-03T23:05:32"/>
    <d v="2026-06-03T00:00:00"/>
    <d v="2026-06-03T18:05:32"/>
    <d v="2026-06-03T00:00:00"/>
    <d v="2026-06-03T17:52:48"/>
    <d v="2026-06-03T18:05:31"/>
    <d v="2026-06-11T13:03:54"/>
    <d v="2026-06-11T00:00:00"/>
    <n v="11717"/>
    <s v="Country Burger"/>
    <n v="241736"/>
    <s v="Country Burger (Murphy Rd)"/>
    <s v="NULL"/>
    <s v="Order"/>
    <s v="59a28ae4-8528-3001-ab32-9b61a979a7d6"/>
    <n v="17349597260"/>
    <s v="A979A7D6"/>
    <s v="f8b81f99-2daf-435f-a863-b283f7578b5a"/>
    <s v="2eb22043-e75e-4cf6-9b15-5c6026e97bed"/>
    <s v="Marketplace"/>
    <s v="NULL"/>
    <x v="1"/>
    <s v="USD"/>
    <n v="32.57"/>
    <n v="1.97"/>
    <n v="0"/>
    <n v="-3.69"/>
    <n v="-0.1"/>
    <n v="0"/>
    <n v="0"/>
    <n v="-8"/>
    <n v="0"/>
    <n v="0"/>
    <n v="0"/>
    <n v="0"/>
    <n v="0"/>
    <n v="0"/>
    <n v="22.75"/>
    <n v="0"/>
    <n v="0"/>
    <n v="24.57"/>
    <n v="0"/>
    <n v="0"/>
    <n v="585632794"/>
  </r>
  <r>
    <d v="2026-06-03T20:09:01"/>
    <d v="2026-06-03T00:00:00"/>
    <d v="2026-06-03T15:09:01"/>
    <d v="2026-06-03T00:00:00"/>
    <d v="2026-06-03T14:55:29"/>
    <d v="2026-06-03T15:09:00"/>
    <d v="2026-06-11T13:03:54"/>
    <d v="2026-06-11T00:00:00"/>
    <n v="11717"/>
    <s v="Country Burger"/>
    <n v="241736"/>
    <s v="Country Burger (Murphy Rd)"/>
    <s v="NULL"/>
    <s v="Order"/>
    <s v="04eb4c8c-b3a7-3001-8c0b-e34052544d84"/>
    <n v="17347575157"/>
    <s v="52544D84"/>
    <s v="a85fd6a1-4072-48cf-b4a0-7eedac5f7191"/>
    <s v="3855f960-388b-460d-be1d-0ae6eac96828"/>
    <s v="Marketplace"/>
    <s v="NULL"/>
    <x v="1"/>
    <s v="USD"/>
    <n v="43.53"/>
    <n v="3.48"/>
    <n v="0"/>
    <n v="-6.53"/>
    <n v="-0.17"/>
    <n v="0"/>
    <n v="0"/>
    <n v="0"/>
    <n v="-2"/>
    <n v="0"/>
    <n v="2"/>
    <n v="0"/>
    <n v="0"/>
    <n v="0"/>
    <n v="40.31"/>
    <n v="0"/>
    <n v="0"/>
    <n v="43.53"/>
    <n v="0"/>
    <n v="0"/>
    <n v="585632794"/>
  </r>
  <r>
    <d v="2026-06-03T19:06:22"/>
    <d v="2026-06-03T00:00:00"/>
    <d v="2026-06-03T14:06:22"/>
    <d v="2026-06-03T00:00:00"/>
    <d v="2026-06-03T13:58:11"/>
    <d v="2026-06-03T14:06:21"/>
    <d v="2026-06-11T13:03:54"/>
    <d v="2026-06-11T00:00:00"/>
    <n v="11717"/>
    <s v="Country Burger"/>
    <n v="241736"/>
    <s v="Country Burger (Murphy Rd)"/>
    <s v="NULL"/>
    <s v="Order"/>
    <s v="82288f6b-301b-3001-ab87-b0cd15f7c061"/>
    <n v="17346957631"/>
    <s v="15F7C061"/>
    <s v="ffebf5a7-ede2-4881-877f-c0ee30d7ad25"/>
    <s v="e0ed7561-62a1-4e92-ab4a-7b383e5dc44e"/>
    <s v="Marketplace"/>
    <s v="NULL"/>
    <x v="1"/>
    <s v="USD"/>
    <n v="14.99"/>
    <n v="1.2"/>
    <n v="0"/>
    <n v="-2.25"/>
    <n v="-0.06"/>
    <n v="0"/>
    <n v="0"/>
    <n v="0"/>
    <n v="0"/>
    <n v="0"/>
    <n v="0"/>
    <n v="0"/>
    <n v="0"/>
    <n v="0"/>
    <n v="13.88"/>
    <n v="0"/>
    <n v="0"/>
    <n v="14.99"/>
    <n v="0"/>
    <n v="0"/>
    <n v="585632794"/>
  </r>
  <r>
    <d v="2026-06-03T17:58:43"/>
    <d v="2026-06-03T00:00:00"/>
    <d v="2026-06-03T12:58:43"/>
    <d v="2026-06-03T00:00:00"/>
    <d v="2026-06-03T12:50:01"/>
    <d v="2026-06-03T12:58:42"/>
    <d v="2026-06-11T13:03:54"/>
    <d v="2026-06-11T00:00:00"/>
    <n v="11717"/>
    <s v="Country Burger"/>
    <n v="241736"/>
    <s v="Country Burger (Murphy Rd)"/>
    <s v="NULL"/>
    <s v="Order"/>
    <s v="7904cf99-9419-3001-8a16-9559138caffa"/>
    <n v="17346228915"/>
    <s v="138CAFFA"/>
    <s v="863f3872-1b95-4371-a72e-b9201e220574"/>
    <s v="05ec3c25-fe1f-42de-8c13-16c1cad4ac7e"/>
    <s v="Marketplace"/>
    <s v="NULL"/>
    <x v="1"/>
    <s v="USD"/>
    <n v="31.16"/>
    <n v="2.4900000000000002"/>
    <n v="0"/>
    <n v="-4.67"/>
    <n v="-0.12"/>
    <n v="0"/>
    <n v="0"/>
    <n v="0"/>
    <n v="0"/>
    <n v="0"/>
    <n v="0"/>
    <n v="0"/>
    <n v="0"/>
    <n v="0"/>
    <n v="28.86"/>
    <n v="0"/>
    <n v="0"/>
    <n v="31.16"/>
    <n v="0"/>
    <n v="0"/>
    <n v="585632794"/>
  </r>
  <r>
    <d v="2026-06-03T17:29:10"/>
    <d v="2026-06-03T00:00:00"/>
    <d v="2026-06-03T12:29:10"/>
    <d v="2026-06-03T00:00:00"/>
    <d v="2026-06-03T12:18:55"/>
    <d v="2026-06-03T12:29:09"/>
    <d v="2026-06-11T13:03:54"/>
    <d v="2026-06-11T00:00:00"/>
    <n v="11717"/>
    <s v="Country Burger"/>
    <n v="241736"/>
    <s v="Country Burger (Murphy Rd)"/>
    <s v="NULL"/>
    <s v="Order"/>
    <s v="c3a7266b-ae75-3001-994d-30a46a30056f"/>
    <n v="17345902560"/>
    <s v="6A30056F"/>
    <s v="32837d51-082c-42a0-aaad-aef9fcc30613"/>
    <s v="5faf2fc0-6ce2-4c1a-bd76-bb5173729c0c"/>
    <s v="Marketplace"/>
    <s v="NULL"/>
    <x v="1"/>
    <s v="USD"/>
    <n v="31.67"/>
    <n v="2.5299999999999998"/>
    <n v="0"/>
    <n v="-4.75"/>
    <n v="-0.13"/>
    <n v="0"/>
    <n v="0"/>
    <n v="0"/>
    <n v="0"/>
    <n v="0"/>
    <n v="0"/>
    <n v="0"/>
    <n v="0"/>
    <n v="0"/>
    <n v="29.32"/>
    <n v="0"/>
    <n v="0"/>
    <n v="31.67"/>
    <n v="0"/>
    <n v="0"/>
    <n v="585632794"/>
  </r>
  <r>
    <d v="2026-06-03T00:54:06"/>
    <d v="2026-06-03T00:00:00"/>
    <d v="2026-06-02T19:54:06"/>
    <d v="2026-06-02T00:00:00"/>
    <d v="2026-06-02T18:16:56"/>
    <d v="2026-06-02T19:54:05"/>
    <d v="2026-06-11T13:03:54"/>
    <d v="2026-06-11T00:00:00"/>
    <n v="11717"/>
    <s v="Country Burger"/>
    <n v="241736"/>
    <s v="Country Burger (Murphy Rd)"/>
    <s v="NULL"/>
    <s v="Order"/>
    <s v="1bd24aa9-d5f7-3001-bda6-5f65ffc4386f"/>
    <n v="17340427022"/>
    <s v="FFC4386F"/>
    <s v="5a5c5c3c-9a94-4fea-bc8a-21aefbdb2194"/>
    <s v="0056bf16-3acb-4030-b29b-1cdf869c2520"/>
    <s v="Marketplace"/>
    <s v="NULL"/>
    <x v="0"/>
    <s v="USD"/>
    <n v="42.06"/>
    <n v="3.36"/>
    <n v="0"/>
    <n v="-2.52"/>
    <n v="-0.17"/>
    <n v="0"/>
    <n v="0"/>
    <n v="0"/>
    <n v="0"/>
    <n v="0"/>
    <n v="0"/>
    <n v="0"/>
    <n v="0"/>
    <n v="0"/>
    <n v="42.73"/>
    <n v="0"/>
    <n v="0"/>
    <n v="42.06"/>
    <n v="0"/>
    <n v="0"/>
    <n v="585632794"/>
  </r>
  <r>
    <d v="2026-06-02T23:55:06"/>
    <d v="2026-06-02T00:00:00"/>
    <d v="2026-06-02T18:55:06"/>
    <d v="2026-06-02T00:00:00"/>
    <d v="2026-06-02T18:33:46"/>
    <d v="2026-06-02T18:55:04"/>
    <d v="2026-06-11T13:03:54"/>
    <d v="2026-06-11T00:00:00"/>
    <n v="11717"/>
    <s v="Country Burger"/>
    <n v="241736"/>
    <s v="Country Burger (Murphy Rd)"/>
    <s v="NULL"/>
    <s v="Order"/>
    <s v="bfa128da-2e3b-3001-abfb-a61d219c6032"/>
    <n v="17339562350"/>
    <s v="219C6032"/>
    <s v="31a8a6a0-cb5c-43ff-8c03-a56a5d980cf3"/>
    <s v="02b1acb6-4e07-4756-bca6-cf2ff0de35b2"/>
    <s v="Marketplace"/>
    <s v="NULL"/>
    <x v="1"/>
    <s v="USD"/>
    <n v="37.22"/>
    <n v="2.38"/>
    <n v="0"/>
    <n v="-5.58"/>
    <n v="-0.15"/>
    <n v="0"/>
    <n v="0"/>
    <n v="0"/>
    <n v="-7.44"/>
    <n v="0"/>
    <n v="7.44"/>
    <n v="0"/>
    <n v="0"/>
    <n v="0"/>
    <n v="33.869999999999997"/>
    <n v="0"/>
    <n v="0"/>
    <n v="29.78"/>
    <n v="0"/>
    <n v="0"/>
    <n v="585632794"/>
  </r>
  <r>
    <d v="2026-06-02T23:25:16"/>
    <d v="2026-06-02T00:00:00"/>
    <d v="2026-06-02T18:25:16"/>
    <d v="2026-06-02T00:00:00"/>
    <d v="2026-06-02T16:50:12"/>
    <d v="2026-06-02T18:25:15"/>
    <d v="2026-06-11T13:03:54"/>
    <d v="2026-06-11T00:00:00"/>
    <n v="11717"/>
    <s v="Country Burger"/>
    <n v="241736"/>
    <s v="Country Burger (Murphy Rd)"/>
    <s v="NULL"/>
    <s v="Order"/>
    <s v="ed1f2890-e32a-3001-a9e6-32e773dd4a29"/>
    <n v="17339135464"/>
    <s v="73DD4A29"/>
    <s v="df04dbc3-bc5b-4fb9-883a-f97d7733409f"/>
    <s v="a92fbc7b-235d-4cad-8420-091a0118bde0"/>
    <s v="Marketplace"/>
    <s v="NULL"/>
    <x v="0"/>
    <s v="USD"/>
    <n v="33.86"/>
    <n v="2.71"/>
    <n v="3.65"/>
    <n v="-2.0299999999999998"/>
    <n v="-0.13"/>
    <n v="0"/>
    <n v="0"/>
    <n v="0"/>
    <n v="0"/>
    <n v="0"/>
    <n v="0"/>
    <n v="0"/>
    <n v="0"/>
    <n v="0"/>
    <n v="38.06"/>
    <n v="0"/>
    <n v="0"/>
    <n v="33.86"/>
    <n v="0"/>
    <n v="0"/>
    <n v="585632794"/>
  </r>
  <r>
    <d v="2026-06-02T17:26:08"/>
    <d v="2026-06-02T00:00:00"/>
    <d v="2026-06-02T12:26:08"/>
    <d v="2026-06-02T00:00:00"/>
    <d v="2026-06-02T12:15:01"/>
    <d v="2026-06-02T12:26:07"/>
    <d v="2026-06-11T13:03:54"/>
    <d v="2026-06-11T00:00:00"/>
    <n v="11717"/>
    <s v="Country Burger"/>
    <n v="241736"/>
    <s v="Country Burger (Murphy Rd)"/>
    <s v="NULL"/>
    <s v="Order"/>
    <s v="de3c2699-dca5-3001-be9b-58ec3013bf20"/>
    <n v="17335254888"/>
    <s v="3013BF20"/>
    <s v="4d666d45-299a-4dad-986c-ea05ea7126b1"/>
    <s v="750010fd-2f80-4e41-8559-9b60c3508c3f"/>
    <s v="Marketplace"/>
    <s v="NULL"/>
    <x v="1"/>
    <s v="USD"/>
    <n v="13.48"/>
    <n v="1.08"/>
    <n v="0"/>
    <n v="-2.02"/>
    <n v="-0.05"/>
    <n v="0"/>
    <n v="0"/>
    <n v="0"/>
    <n v="0"/>
    <n v="0"/>
    <n v="0"/>
    <n v="0"/>
    <n v="0"/>
    <n v="0"/>
    <n v="12.49"/>
    <n v="0"/>
    <n v="0"/>
    <n v="13.48"/>
    <n v="0"/>
    <n v="0"/>
    <n v="585632794"/>
  </r>
  <r>
    <d v="2026-06-01T23:54:36"/>
    <d v="2026-06-01T00:00:00"/>
    <d v="2026-06-01T18:54:36"/>
    <d v="2026-06-01T00:00:00"/>
    <d v="2026-06-01T17:17:38"/>
    <d v="2026-06-01T18:54:35"/>
    <d v="2026-06-11T13:03:54"/>
    <d v="2026-06-11T00:00:00"/>
    <n v="11717"/>
    <s v="Country Burger"/>
    <n v="241736"/>
    <s v="Country Burger (Murphy Rd)"/>
    <s v="NULL"/>
    <s v="Order"/>
    <s v="8a62c779-2f40-3001-9e5a-0b28d4c330d4"/>
    <n v="17329117625"/>
    <s v="D4C330D4"/>
    <s v="e0185c8f-695a-4f8a-9808-0b02fe96d73c"/>
    <s v="1f95ce34-6535-422e-bd44-d8ce54290607"/>
    <s v="Marketplace"/>
    <s v="NULL"/>
    <x v="0"/>
    <s v="USD"/>
    <n v="32.22"/>
    <n v="2.1800000000000002"/>
    <n v="0"/>
    <n v="-1.93"/>
    <n v="-0.13"/>
    <n v="0"/>
    <n v="0"/>
    <n v="0"/>
    <n v="-5"/>
    <n v="0"/>
    <n v="5"/>
    <n v="0"/>
    <n v="0"/>
    <n v="0"/>
    <n v="32.340000000000003"/>
    <n v="0"/>
    <n v="0"/>
    <n v="27.22"/>
    <n v="0"/>
    <n v="0"/>
    <n v="585632794"/>
  </r>
  <r>
    <d v="2026-06-01T20:38:10"/>
    <d v="2026-06-01T00:00:00"/>
    <d v="2026-06-01T15:38:10"/>
    <d v="2026-06-01T00:00:00"/>
    <d v="2026-06-01T15:26:37"/>
    <d v="2026-06-01T15:38:10"/>
    <d v="2026-06-11T13:03:54"/>
    <d v="2026-06-11T00:00:00"/>
    <n v="11717"/>
    <s v="Country Burger"/>
    <n v="241736"/>
    <s v="Country Burger (Murphy Rd)"/>
    <s v="NULL"/>
    <s v="Order"/>
    <s v="4ceb8909-4f7f-3001-b11d-71f0ea43a8aa"/>
    <n v="17326793385"/>
    <s v="EA43A8AA"/>
    <s v="8019a935-4af8-40c0-a2b0-8391d7e45ce6"/>
    <s v="39e5faab-066a-44e1-99fe-3c96ce4af994"/>
    <s v="Marketplace"/>
    <s v="NULL"/>
    <x v="1"/>
    <s v="USD"/>
    <n v="24.27"/>
    <n v="1.94"/>
    <n v="0"/>
    <n v="-3.64"/>
    <n v="-0.1"/>
    <n v="0"/>
    <n v="0"/>
    <n v="0"/>
    <n v="0"/>
    <n v="0"/>
    <n v="0"/>
    <n v="0"/>
    <n v="0"/>
    <n v="0"/>
    <n v="22.47"/>
    <n v="0"/>
    <n v="0"/>
    <n v="24.27"/>
    <n v="0"/>
    <n v="0"/>
    <n v="585632794"/>
  </r>
  <r>
    <d v="2026-06-01T18:56:31"/>
    <d v="2026-06-01T00:00:00"/>
    <d v="2026-06-01T13:56:31"/>
    <d v="2026-06-01T00:00:00"/>
    <d v="2026-06-01T13:43:36"/>
    <d v="2026-06-01T13:56:30"/>
    <d v="2026-06-11T13:03:54"/>
    <d v="2026-06-11T00:00:00"/>
    <n v="11717"/>
    <s v="Country Burger"/>
    <n v="241736"/>
    <s v="Country Burger (Murphy Rd)"/>
    <s v="NULL"/>
    <s v="Order"/>
    <s v="316b9b5c-9266-3001-a8fb-8a15a9bc127c"/>
    <n v="17325797237"/>
    <s v="A9BC127C"/>
    <s v="95313824-27de-4ffa-b0b0-b16e348e29f9"/>
    <s v="765365c0-2a00-4379-b13a-4b20aea9af51"/>
    <s v="Marketplace"/>
    <s v="NULL"/>
    <x v="1"/>
    <s v="USD"/>
    <n v="11.99"/>
    <n v="0.96"/>
    <n v="0"/>
    <n v="-1.8"/>
    <n v="-0.05"/>
    <n v="0"/>
    <n v="0"/>
    <n v="0"/>
    <n v="0"/>
    <n v="0"/>
    <n v="0"/>
    <n v="0"/>
    <n v="0"/>
    <n v="0"/>
    <n v="11.1"/>
    <n v="0"/>
    <n v="0"/>
    <n v="11.99"/>
    <n v="0"/>
    <n v="0"/>
    <n v="585632794"/>
  </r>
  <r>
    <d v="2026-06-01T17:22:37"/>
    <d v="2026-06-01T00:00:00"/>
    <d v="2026-06-01T12:22:37"/>
    <d v="2026-06-01T00:00:00"/>
    <d v="2026-06-01T12:07:09"/>
    <d v="2026-06-01T12:22:36"/>
    <d v="2026-06-11T13:03:54"/>
    <d v="2026-06-11T00:00:00"/>
    <n v="11717"/>
    <s v="Country Burger"/>
    <n v="241736"/>
    <s v="Country Burger (Murphy Rd)"/>
    <s v="NULL"/>
    <s v="Order"/>
    <s v="49c644c5-562d-3001-a0dd-52ac952486ac"/>
    <n v="17324835924"/>
    <s v="952486AC"/>
    <s v="0945ac68-30da-41ea-92f5-9bb976fcb16f"/>
    <s v="5fb7c50b-3b36-4f56-83ca-dbf97fdca81b"/>
    <s v="Marketplace"/>
    <s v="NULL"/>
    <x v="1"/>
    <s v="USD"/>
    <n v="16.48"/>
    <n v="0.68"/>
    <n v="0"/>
    <n v="-1.27"/>
    <n v="-0.03"/>
    <n v="0"/>
    <n v="0"/>
    <n v="-8"/>
    <n v="0"/>
    <n v="0"/>
    <n v="0"/>
    <n v="0"/>
    <n v="0"/>
    <n v="0"/>
    <n v="7.86"/>
    <n v="0"/>
    <n v="0"/>
    <n v="8.48"/>
    <n v="0"/>
    <n v="0"/>
    <n v="5856327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299B0-4939-48B4-BD62-64ACCC0A951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02:AI205" firstHeaderRow="0" firstDataRow="1" firstDataCol="1"/>
  <pivotFields count="44">
    <pivotField numFmtId="47" showAll="0"/>
    <pivotField numFmtId="14" showAll="0"/>
    <pivotField numFmtId="47" showAll="0"/>
    <pivotField numFmtId="14" showAll="0"/>
    <pivotField numFmtId="47" showAll="0"/>
    <pivotField numFmtId="47" showAll="0"/>
    <pivotField numFmtId="47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Subtotal" fld="23" baseField="0" baseItem="0"/>
    <dataField name="Sum of Subtotal tax passed to merchant" fld="24" baseField="0" baseItem="0"/>
    <dataField name="Sum of Staff tip" fld="25" baseField="0" baseItem="0"/>
    <dataField name="Sum of Commission" fld="26" baseField="0" baseItem="0"/>
    <dataField name="Sum of Commission tax" fld="27" baseField="0" baseItem="0"/>
    <dataField name="Sum of Net total" fld="37" baseField="0" baseItem="0"/>
    <dataField name="Sum of Customer discounts from marketing | (funded by you)" fld="30" baseField="0" baseItem="0"/>
    <dataField name="Sum of Customer discounts from marketing | (funded by DoorDash)" fld="31" baseField="0" baseItem="0"/>
    <dataField name="Sum of DoorDash marketing credit" fld="33" baseField="0" baseItem="0"/>
    <dataField name="Sum of Error charges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647D6-8410-410F-B54A-74038590CD3E}" name="Table2" displayName="Table2" ref="A1:AR197" totalsRowShown="0">
  <autoFilter ref="A1:AR197" xr:uid="{1CC647D6-8410-410F-B54A-74038590CD3E}"/>
  <tableColumns count="44">
    <tableColumn id="1" xr3:uid="{FF915935-768A-4587-B26A-098CD6A1112B}" name="Timestamp UTC time" dataDxfId="7"/>
    <tableColumn id="2" xr3:uid="{EBB4D0D1-A4F4-4509-987E-E5E9468D216F}" name="Timestamp UTC date" dataDxfId="6"/>
    <tableColumn id="3" xr3:uid="{A3B98932-A408-495B-BA98-07AE9016C6A7}" name="Timestamp local time" dataDxfId="5"/>
    <tableColumn id="4" xr3:uid="{842F2252-C499-47BB-A33E-C17829EE852F}" name="Timestamp local date" dataDxfId="4"/>
    <tableColumn id="5" xr3:uid="{E398B014-7643-41B2-BFBD-9927F9C03F3B}" name="Order received local time" dataDxfId="3"/>
    <tableColumn id="6" xr3:uid="{11270066-FE63-4D68-B5FD-BBD2FE82FF7A}" name="Order pickup local time" dataDxfId="2"/>
    <tableColumn id="7" xr3:uid="{48F8FFBF-D49E-468E-BF1C-28FC1EA37173}" name="Payout time" dataDxfId="1"/>
    <tableColumn id="8" xr3:uid="{D8067564-E8BB-485D-8082-1ECFD37BD07F}" name="Payout date" dataDxfId="0"/>
    <tableColumn id="9" xr3:uid="{8EAB8BF8-40D6-4969-8AF1-FE1CE66C815D}" name="Business ID"/>
    <tableColumn id="10" xr3:uid="{559A5774-D1D8-4501-8282-1FACE5EF13C5}" name="Business name"/>
    <tableColumn id="11" xr3:uid="{CBAEC77F-90B9-4531-A2B3-5448DDDF6C02}" name="Store ID"/>
    <tableColumn id="12" xr3:uid="{C8AD529E-B956-4954-BBA3-80B9A8C7709A}" name="Store name"/>
    <tableColumn id="13" xr3:uid="{D1B2C2EB-4213-4862-A628-E89A5010D239}" name="Merchant store ID"/>
    <tableColumn id="14" xr3:uid="{29D050FB-C783-4FFC-A08B-0F46E21020DB}" name="Transaction type"/>
    <tableColumn id="15" xr3:uid="{C77B2C31-B262-4DCF-A787-BCB17CADD24B}" name="Delivery UUID"/>
    <tableColumn id="16" xr3:uid="{2704BA03-91DD-403A-A35B-10CF5649C6C9}" name="DoorDash transaction ID"/>
    <tableColumn id="17" xr3:uid="{35953E16-3B20-4FCD-85EF-FE78CCEBFE53}" name="DoorDash order ID"/>
    <tableColumn id="18" xr3:uid="{9737F086-E269-4097-BF38-3CD1605760D4}" name="Merchant delivery ID"/>
    <tableColumn id="19" xr3:uid="{E0CEEB38-C450-40EC-9727-EB508D346B37}" name="POS order ID"/>
    <tableColumn id="20" xr3:uid="{A31A881E-A8AB-4075-8DF6-16038578C84C}" name="Channel"/>
    <tableColumn id="21" xr3:uid="{4A6E2490-1B9A-4310-A924-F0AF5F4B33B7}" name="Description"/>
    <tableColumn id="22" xr3:uid="{6B36964E-B84E-4BFB-9FE2-5F1099563067}" name="Final order status"/>
    <tableColumn id="23" xr3:uid="{E3C9907E-AE8D-4EF1-8DED-921AA76D1844}" name="Currency"/>
    <tableColumn id="24" xr3:uid="{AF7E1A3A-D696-4454-A882-FD178B747011}" name="Subtotal"/>
    <tableColumn id="25" xr3:uid="{44826B02-A76B-4C6B-A5A2-1C8D491FE3F3}" name="Subtotal tax passed to merchant"/>
    <tableColumn id="26" xr3:uid="{EA44048C-E83B-4E47-88E4-169A0F9E7CEA}" name="Staff tip"/>
    <tableColumn id="27" xr3:uid="{22C20B0F-4B34-49BE-85CA-8C5940CA68E4}" name="Commission"/>
    <tableColumn id="28" xr3:uid="{1F4744C5-7EAE-4EB4-819E-12C098CB3D18}" name="Commission tax"/>
    <tableColumn id="29" xr3:uid="{FF58EA37-371F-4C2D-8635-423B87B14B4D}" name="Payment processing fee"/>
    <tableColumn id="30" xr3:uid="{E8251720-CCFE-4972-91A4-B7FDFBB40778}" name="Marketing fees | (including any applicable taxes)"/>
    <tableColumn id="31" xr3:uid="{26E49C8B-968C-4424-9EFD-50FAB274DBFA}" name="Customer discounts from marketing | (funded by you)"/>
    <tableColumn id="32" xr3:uid="{410E0816-84C5-46A4-AA3A-EDD44E8366F8}" name="Customer discounts from marketing | (funded by DoorDash)"/>
    <tableColumn id="33" xr3:uid="{83A0FEAF-3D96-421B-833A-975DE5F73D6E}" name="Customer discounts from marketing | (funded by a third-party)"/>
    <tableColumn id="34" xr3:uid="{3BAA79C9-5C9F-4674-8FC9-B350EF795BFC}" name="DoorDash marketing credit"/>
    <tableColumn id="35" xr3:uid="{F51AECF1-1254-4B60-8B68-7EBFC1935A96}" name="Third-party contribution"/>
    <tableColumn id="36" xr3:uid="{ED866D5E-A380-4DAA-9D10-F234AA9E97B8}" name="Error charges"/>
    <tableColumn id="37" xr3:uid="{0C849F1F-0D74-4564-AD6C-AD537A5A7427}" name="Adjustments"/>
    <tableColumn id="38" xr3:uid="{561876CD-F93F-4C19-9B53-847DF66539A2}" name="Net total"/>
    <tableColumn id="39" xr3:uid="{B5EF9D62-D990-489D-B951-76792BC09FBC}" name="Pre-adjusted subtotal"/>
    <tableColumn id="40" xr3:uid="{C3269CA4-513D-4B6B-BDE8-CCC6EED8CD96}" name="Pre-adjusted tax subtotal"/>
    <tableColumn id="41" xr3:uid="{3D7A597B-1A90-4C49-B4EA-70B221678497}" name="Subtotal for tax"/>
    <tableColumn id="42" xr3:uid="{787E1258-32A9-4961-B6EE-DFB6DC7D3E87}" name="Subtotal tax remitted by DoorDash to tax authorities"/>
    <tableColumn id="43" xr3:uid="{4D938059-7D32-4275-AC84-49235FB91845}" name="Tax remitted by DoorDash on fees DoorDash charges to merchant"/>
    <tableColumn id="44" xr3:uid="{FC588778-D544-4B56-9DFC-3F26A36BCF59}" name="Payout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846B-BA0B-4354-903E-AFC0B46E069B}">
  <dimension ref="A1:AR205"/>
  <sheetViews>
    <sheetView tabSelected="1" topLeftCell="V190" workbookViewId="0">
      <selection activeCell="AH209" sqref="AH209"/>
    </sheetView>
  </sheetViews>
  <sheetFormatPr defaultRowHeight="15" x14ac:dyDescent="0.25"/>
  <cols>
    <col min="1" max="1" width="12.42578125" customWidth="1"/>
    <col min="2" max="2" width="12" customWidth="1"/>
    <col min="3" max="3" width="0" hidden="1" customWidth="1"/>
    <col min="4" max="4" width="11.5703125" hidden="1" customWidth="1"/>
    <col min="5" max="7" width="0" hidden="1" customWidth="1"/>
    <col min="8" max="8" width="11.28515625" hidden="1" customWidth="1"/>
    <col min="9" max="9" width="0" hidden="1" customWidth="1"/>
    <col min="10" max="10" width="16.5703125" hidden="1" customWidth="1"/>
    <col min="11" max="13" width="0" hidden="1" customWidth="1"/>
    <col min="14" max="14" width="17.7109375" customWidth="1"/>
    <col min="15" max="15" width="15.7109375" customWidth="1"/>
    <col min="16" max="16" width="17.7109375" customWidth="1"/>
    <col min="17" max="17" width="13.85546875" customWidth="1"/>
    <col min="18" max="18" width="21.7109375" customWidth="1"/>
    <col min="19" max="19" width="14.28515625" customWidth="1"/>
    <col min="20" max="20" width="16" hidden="1" customWidth="1"/>
    <col min="21" max="21" width="0" hidden="1" customWidth="1"/>
    <col min="22" max="22" width="18.42578125" customWidth="1"/>
    <col min="23" max="23" width="0" hidden="1" customWidth="1"/>
    <col min="24" max="24" width="10.5703125" customWidth="1"/>
    <col min="25" max="25" width="13.140625" bestFit="1" customWidth="1"/>
    <col min="26" max="26" width="15.140625" bestFit="1" customWidth="1"/>
    <col min="27" max="27" width="36.7109375" bestFit="1" customWidth="1"/>
    <col min="28" max="28" width="14.7109375" bestFit="1" customWidth="1"/>
    <col min="29" max="30" width="0" hidden="1" customWidth="1"/>
    <col min="31" max="31" width="15.5703125" bestFit="1" customWidth="1"/>
    <col min="32" max="32" width="7.140625" customWidth="1"/>
    <col min="33" max="33" width="18.7109375" customWidth="1"/>
    <col min="34" max="34" width="15.7109375" customWidth="1"/>
    <col min="35" max="35" width="9" customWidth="1"/>
    <col min="36" max="36" width="9.28515625" customWidth="1"/>
    <col min="37" max="37" width="10.42578125" customWidth="1"/>
    <col min="38" max="38" width="8.42578125" customWidth="1"/>
    <col min="39" max="40" width="0" hidden="1" customWidth="1"/>
    <col min="41" max="41" width="16.7109375" customWidth="1"/>
    <col min="42" max="43" width="0" hidden="1" customWidth="1"/>
    <col min="44" max="44" width="11.57031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s="1">
        <v>46203.951053946759</v>
      </c>
      <c r="B2" s="2">
        <v>46203</v>
      </c>
      <c r="C2" s="1">
        <v>46203.742720613423</v>
      </c>
      <c r="D2" s="2">
        <v>46203</v>
      </c>
      <c r="E2" s="1">
        <v>46203.676239837965</v>
      </c>
      <c r="F2" s="1">
        <v>46203.74270988426</v>
      </c>
      <c r="G2" s="1">
        <v>46212.437817847225</v>
      </c>
      <c r="H2" s="2">
        <v>46212</v>
      </c>
      <c r="I2">
        <v>11717</v>
      </c>
      <c r="J2" t="s">
        <v>44</v>
      </c>
      <c r="K2">
        <v>241736</v>
      </c>
      <c r="L2" t="s">
        <v>45</v>
      </c>
      <c r="M2" t="s">
        <v>46</v>
      </c>
      <c r="N2" t="s">
        <v>47</v>
      </c>
      <c r="O2" t="s">
        <v>52</v>
      </c>
      <c r="P2">
        <v>17651489916</v>
      </c>
      <c r="Q2" t="s">
        <v>53</v>
      </c>
      <c r="R2" t="s">
        <v>54</v>
      </c>
      <c r="S2" t="s">
        <v>55</v>
      </c>
      <c r="T2" t="s">
        <v>48</v>
      </c>
      <c r="U2" t="s">
        <v>46</v>
      </c>
      <c r="V2" t="s">
        <v>51</v>
      </c>
      <c r="W2" t="s">
        <v>50</v>
      </c>
      <c r="X2">
        <v>70.239999999999995</v>
      </c>
      <c r="Y2">
        <v>5.62</v>
      </c>
      <c r="Z2">
        <v>0</v>
      </c>
      <c r="AA2">
        <v>-4.21</v>
      </c>
      <c r="AB2">
        <v>-0.28000000000000003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71.37</v>
      </c>
      <c r="AM2">
        <v>0</v>
      </c>
      <c r="AN2">
        <v>0</v>
      </c>
      <c r="AO2">
        <v>70.239999999999995</v>
      </c>
      <c r="AP2">
        <v>0</v>
      </c>
      <c r="AQ2">
        <v>0</v>
      </c>
      <c r="AR2">
        <v>592783586</v>
      </c>
    </row>
    <row r="3" spans="1:44" x14ac:dyDescent="0.25">
      <c r="A3" s="1">
        <v>46203.786294016201</v>
      </c>
      <c r="B3" s="2">
        <v>46203</v>
      </c>
      <c r="C3" s="1">
        <v>46203.577960682873</v>
      </c>
      <c r="D3" s="2">
        <v>46203</v>
      </c>
      <c r="E3" s="1">
        <v>46203.572806446762</v>
      </c>
      <c r="F3" s="1">
        <v>46203.577950624996</v>
      </c>
      <c r="G3" s="1">
        <v>46212.437817847225</v>
      </c>
      <c r="H3" s="2">
        <v>46212</v>
      </c>
      <c r="I3">
        <v>11717</v>
      </c>
      <c r="J3" t="s">
        <v>44</v>
      </c>
      <c r="K3">
        <v>241736</v>
      </c>
      <c r="L3" t="s">
        <v>45</v>
      </c>
      <c r="M3" t="s">
        <v>46</v>
      </c>
      <c r="N3" t="s">
        <v>47</v>
      </c>
      <c r="O3" t="s">
        <v>56</v>
      </c>
      <c r="P3">
        <v>17648919840</v>
      </c>
      <c r="Q3" t="s">
        <v>57</v>
      </c>
      <c r="R3" t="s">
        <v>58</v>
      </c>
      <c r="S3" t="s">
        <v>59</v>
      </c>
      <c r="T3" t="s">
        <v>48</v>
      </c>
      <c r="U3" t="s">
        <v>46</v>
      </c>
      <c r="V3" t="s">
        <v>49</v>
      </c>
      <c r="W3" t="s">
        <v>50</v>
      </c>
      <c r="X3">
        <v>12.49</v>
      </c>
      <c r="Y3">
        <v>0.36</v>
      </c>
      <c r="Z3">
        <v>0</v>
      </c>
      <c r="AA3">
        <v>-0.67</v>
      </c>
      <c r="AB3">
        <v>-0.02</v>
      </c>
      <c r="AC3">
        <v>0</v>
      </c>
      <c r="AD3">
        <v>0</v>
      </c>
      <c r="AE3">
        <v>-8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4.16</v>
      </c>
      <c r="AM3">
        <v>0</v>
      </c>
      <c r="AN3">
        <v>0</v>
      </c>
      <c r="AO3">
        <v>4.49</v>
      </c>
      <c r="AP3">
        <v>0</v>
      </c>
      <c r="AQ3">
        <v>0</v>
      </c>
      <c r="AR3">
        <v>592783586</v>
      </c>
    </row>
    <row r="4" spans="1:44" x14ac:dyDescent="0.25">
      <c r="A4" s="1">
        <v>46203.747733888886</v>
      </c>
      <c r="B4" s="2">
        <v>46203</v>
      </c>
      <c r="C4" s="1">
        <v>46203.539400555557</v>
      </c>
      <c r="D4" s="2">
        <v>46203</v>
      </c>
      <c r="E4" s="1">
        <v>46203.533710138887</v>
      </c>
      <c r="F4" s="1">
        <v>46203.539388229168</v>
      </c>
      <c r="G4" s="1">
        <v>46212.437817847225</v>
      </c>
      <c r="H4" s="2">
        <v>46212</v>
      </c>
      <c r="I4">
        <v>11717</v>
      </c>
      <c r="J4" t="s">
        <v>44</v>
      </c>
      <c r="K4">
        <v>241736</v>
      </c>
      <c r="L4" t="s">
        <v>45</v>
      </c>
      <c r="M4" t="s">
        <v>46</v>
      </c>
      <c r="N4" t="s">
        <v>47</v>
      </c>
      <c r="O4" t="s">
        <v>60</v>
      </c>
      <c r="P4">
        <v>17648325928</v>
      </c>
      <c r="Q4" t="s">
        <v>61</v>
      </c>
      <c r="R4" t="s">
        <v>62</v>
      </c>
      <c r="S4" t="s">
        <v>63</v>
      </c>
      <c r="T4" t="s">
        <v>48</v>
      </c>
      <c r="U4" t="s">
        <v>46</v>
      </c>
      <c r="V4" t="s">
        <v>49</v>
      </c>
      <c r="W4" t="s">
        <v>50</v>
      </c>
      <c r="X4">
        <v>13.24</v>
      </c>
      <c r="Y4">
        <v>1.06</v>
      </c>
      <c r="Z4">
        <v>0</v>
      </c>
      <c r="AA4">
        <v>-1.99</v>
      </c>
      <c r="AB4">
        <v>-0.05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12.26</v>
      </c>
      <c r="AM4">
        <v>0</v>
      </c>
      <c r="AN4">
        <v>0</v>
      </c>
      <c r="AO4">
        <v>13.24</v>
      </c>
      <c r="AP4">
        <v>0</v>
      </c>
      <c r="AQ4">
        <v>0</v>
      </c>
      <c r="AR4">
        <v>592783586</v>
      </c>
    </row>
    <row r="5" spans="1:44" x14ac:dyDescent="0.25">
      <c r="A5" s="1">
        <v>46203.745261446762</v>
      </c>
      <c r="B5" s="2">
        <v>46203</v>
      </c>
      <c r="C5" s="1">
        <v>46203.536928113426</v>
      </c>
      <c r="D5" s="2">
        <v>46203</v>
      </c>
      <c r="E5" s="1">
        <v>46203.52886259259</v>
      </c>
      <c r="F5" s="1">
        <v>46203.536917152778</v>
      </c>
      <c r="G5" s="1">
        <v>46212.437817847225</v>
      </c>
      <c r="H5" s="2">
        <v>46212</v>
      </c>
      <c r="I5">
        <v>11717</v>
      </c>
      <c r="J5" t="s">
        <v>44</v>
      </c>
      <c r="K5">
        <v>241736</v>
      </c>
      <c r="L5" t="s">
        <v>45</v>
      </c>
      <c r="M5" t="s">
        <v>46</v>
      </c>
      <c r="N5" t="s">
        <v>47</v>
      </c>
      <c r="O5" t="s">
        <v>64</v>
      </c>
      <c r="P5">
        <v>17648288801</v>
      </c>
      <c r="Q5" t="s">
        <v>65</v>
      </c>
      <c r="R5" t="s">
        <v>66</v>
      </c>
      <c r="S5" t="s">
        <v>67</v>
      </c>
      <c r="T5" t="s">
        <v>48</v>
      </c>
      <c r="U5" t="s">
        <v>46</v>
      </c>
      <c r="V5" t="s">
        <v>49</v>
      </c>
      <c r="W5" t="s">
        <v>50</v>
      </c>
      <c r="X5">
        <v>13.48</v>
      </c>
      <c r="Y5">
        <v>1.08</v>
      </c>
      <c r="Z5">
        <v>0</v>
      </c>
      <c r="AA5">
        <v>-2.02</v>
      </c>
      <c r="AB5">
        <v>-0.05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12.49</v>
      </c>
      <c r="AM5">
        <v>0</v>
      </c>
      <c r="AN5">
        <v>0</v>
      </c>
      <c r="AO5">
        <v>13.48</v>
      </c>
      <c r="AP5">
        <v>0</v>
      </c>
      <c r="AQ5">
        <v>0</v>
      </c>
      <c r="AR5">
        <v>592783586</v>
      </c>
    </row>
    <row r="6" spans="1:44" x14ac:dyDescent="0.25">
      <c r="A6" s="1">
        <v>46202.97242834491</v>
      </c>
      <c r="B6" s="2">
        <v>46202</v>
      </c>
      <c r="C6" s="1">
        <v>46202.764095011575</v>
      </c>
      <c r="D6" s="2">
        <v>46202</v>
      </c>
      <c r="E6" s="1">
        <v>46202.756003981478</v>
      </c>
      <c r="F6" s="1">
        <v>46202.764080659719</v>
      </c>
      <c r="G6" s="1">
        <v>46212.437817847225</v>
      </c>
      <c r="H6" s="2">
        <v>46212</v>
      </c>
      <c r="I6">
        <v>11717</v>
      </c>
      <c r="J6" t="s">
        <v>44</v>
      </c>
      <c r="K6">
        <v>241736</v>
      </c>
      <c r="L6" t="s">
        <v>45</v>
      </c>
      <c r="M6" t="s">
        <v>46</v>
      </c>
      <c r="N6" t="s">
        <v>47</v>
      </c>
      <c r="O6" t="s">
        <v>68</v>
      </c>
      <c r="P6">
        <v>17641160534</v>
      </c>
      <c r="Q6" t="s">
        <v>69</v>
      </c>
      <c r="R6" t="s">
        <v>70</v>
      </c>
      <c r="S6" t="s">
        <v>71</v>
      </c>
      <c r="T6" t="s">
        <v>48</v>
      </c>
      <c r="U6" t="s">
        <v>46</v>
      </c>
      <c r="V6" t="s">
        <v>49</v>
      </c>
      <c r="W6" t="s">
        <v>50</v>
      </c>
      <c r="X6">
        <v>31.71</v>
      </c>
      <c r="Y6">
        <v>2.54</v>
      </c>
      <c r="Z6">
        <v>0</v>
      </c>
      <c r="AA6">
        <v>-4.76</v>
      </c>
      <c r="AB6">
        <v>-0.13</v>
      </c>
      <c r="AC6">
        <v>0</v>
      </c>
      <c r="AD6">
        <v>0</v>
      </c>
      <c r="AE6">
        <v>0</v>
      </c>
      <c r="AF6">
        <v>-2</v>
      </c>
      <c r="AG6">
        <v>0</v>
      </c>
      <c r="AH6">
        <v>2</v>
      </c>
      <c r="AI6">
        <v>0</v>
      </c>
      <c r="AJ6">
        <v>0</v>
      </c>
      <c r="AK6">
        <v>0</v>
      </c>
      <c r="AL6">
        <v>29.36</v>
      </c>
      <c r="AM6">
        <v>0</v>
      </c>
      <c r="AN6">
        <v>0</v>
      </c>
      <c r="AO6">
        <v>31.71</v>
      </c>
      <c r="AP6">
        <v>0</v>
      </c>
      <c r="AQ6">
        <v>0</v>
      </c>
      <c r="AR6">
        <v>592783586</v>
      </c>
    </row>
    <row r="7" spans="1:44" x14ac:dyDescent="0.25">
      <c r="A7" s="1">
        <v>46202.968157812502</v>
      </c>
      <c r="B7" s="2">
        <v>46202</v>
      </c>
      <c r="C7" s="1">
        <v>46202.759824479166</v>
      </c>
      <c r="D7" s="2">
        <v>46202</v>
      </c>
      <c r="E7" s="1">
        <v>46202.746770428239</v>
      </c>
      <c r="F7" s="1">
        <v>46202.75981265046</v>
      </c>
      <c r="G7" s="1">
        <v>46212.437817847225</v>
      </c>
      <c r="H7" s="2">
        <v>46212</v>
      </c>
      <c r="I7">
        <v>11717</v>
      </c>
      <c r="J7" t="s">
        <v>44</v>
      </c>
      <c r="K7">
        <v>241736</v>
      </c>
      <c r="L7" t="s">
        <v>45</v>
      </c>
      <c r="M7" t="s">
        <v>46</v>
      </c>
      <c r="N7" t="s">
        <v>47</v>
      </c>
      <c r="O7" t="s">
        <v>72</v>
      </c>
      <c r="P7">
        <v>17641079063</v>
      </c>
      <c r="Q7" t="s">
        <v>73</v>
      </c>
      <c r="R7" t="s">
        <v>74</v>
      </c>
      <c r="S7" t="s">
        <v>75</v>
      </c>
      <c r="T7" t="s">
        <v>48</v>
      </c>
      <c r="U7" t="s">
        <v>46</v>
      </c>
      <c r="V7" t="s">
        <v>49</v>
      </c>
      <c r="W7" t="s">
        <v>50</v>
      </c>
      <c r="X7">
        <v>25.96</v>
      </c>
      <c r="Y7">
        <v>2.08</v>
      </c>
      <c r="Z7">
        <v>0</v>
      </c>
      <c r="AA7">
        <v>-3.89</v>
      </c>
      <c r="AB7">
        <v>-0.1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24.05</v>
      </c>
      <c r="AM7">
        <v>0</v>
      </c>
      <c r="AN7">
        <v>0</v>
      </c>
      <c r="AO7">
        <v>25.96</v>
      </c>
      <c r="AP7">
        <v>0</v>
      </c>
      <c r="AQ7">
        <v>0</v>
      </c>
      <c r="AR7">
        <v>592783586</v>
      </c>
    </row>
    <row r="8" spans="1:44" x14ac:dyDescent="0.25">
      <c r="A8" s="1">
        <v>46202.953820578703</v>
      </c>
      <c r="B8" s="2">
        <v>46202</v>
      </c>
      <c r="C8" s="1">
        <v>46202.745487245367</v>
      </c>
      <c r="D8" s="2">
        <v>46202</v>
      </c>
      <c r="E8" s="1">
        <v>46202.738784259258</v>
      </c>
      <c r="F8" s="1">
        <v>46202.745473912037</v>
      </c>
      <c r="G8" s="1">
        <v>46212.437817847225</v>
      </c>
      <c r="H8" s="2">
        <v>46212</v>
      </c>
      <c r="I8">
        <v>11717</v>
      </c>
      <c r="J8" t="s">
        <v>44</v>
      </c>
      <c r="K8">
        <v>241736</v>
      </c>
      <c r="L8" t="s">
        <v>45</v>
      </c>
      <c r="M8" t="s">
        <v>46</v>
      </c>
      <c r="N8" t="s">
        <v>47</v>
      </c>
      <c r="O8" t="s">
        <v>76</v>
      </c>
      <c r="P8">
        <v>17640773445</v>
      </c>
      <c r="Q8" t="s">
        <v>77</v>
      </c>
      <c r="R8" t="s">
        <v>78</v>
      </c>
      <c r="S8" t="s">
        <v>79</v>
      </c>
      <c r="T8" t="s">
        <v>48</v>
      </c>
      <c r="U8" t="s">
        <v>46</v>
      </c>
      <c r="V8" t="s">
        <v>49</v>
      </c>
      <c r="W8" t="s">
        <v>50</v>
      </c>
      <c r="X8">
        <v>21.24</v>
      </c>
      <c r="Y8">
        <v>1.7</v>
      </c>
      <c r="Z8">
        <v>0</v>
      </c>
      <c r="AA8">
        <v>-3.19</v>
      </c>
      <c r="AB8">
        <v>-0.08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19.670000000000002</v>
      </c>
      <c r="AM8">
        <v>0</v>
      </c>
      <c r="AN8">
        <v>0</v>
      </c>
      <c r="AO8">
        <v>21.24</v>
      </c>
      <c r="AP8">
        <v>0</v>
      </c>
      <c r="AQ8">
        <v>0</v>
      </c>
      <c r="AR8">
        <v>592783586</v>
      </c>
    </row>
    <row r="9" spans="1:44" x14ac:dyDescent="0.25">
      <c r="A9" s="1">
        <v>46202.92636002315</v>
      </c>
      <c r="B9" s="2">
        <v>46202</v>
      </c>
      <c r="C9" s="1">
        <v>46202.718026689814</v>
      </c>
      <c r="D9" s="2">
        <v>46202</v>
      </c>
      <c r="E9" s="1">
        <v>46202.709956284722</v>
      </c>
      <c r="F9" s="1">
        <v>46202.718004803239</v>
      </c>
      <c r="G9" s="1">
        <v>46212.437817847225</v>
      </c>
      <c r="H9" s="2">
        <v>46212</v>
      </c>
      <c r="I9">
        <v>11717</v>
      </c>
      <c r="J9" t="s">
        <v>44</v>
      </c>
      <c r="K9">
        <v>241736</v>
      </c>
      <c r="L9" t="s">
        <v>45</v>
      </c>
      <c r="M9" t="s">
        <v>46</v>
      </c>
      <c r="N9" t="s">
        <v>47</v>
      </c>
      <c r="O9" t="s">
        <v>80</v>
      </c>
      <c r="P9">
        <v>17640276949</v>
      </c>
      <c r="Q9" t="s">
        <v>81</v>
      </c>
      <c r="R9" t="s">
        <v>82</v>
      </c>
      <c r="S9" t="s">
        <v>83</v>
      </c>
      <c r="T9" t="s">
        <v>48</v>
      </c>
      <c r="U9" t="s">
        <v>46</v>
      </c>
      <c r="V9" t="s">
        <v>49</v>
      </c>
      <c r="W9" t="s">
        <v>50</v>
      </c>
      <c r="X9">
        <v>23.98</v>
      </c>
      <c r="Y9">
        <v>1.28</v>
      </c>
      <c r="Z9">
        <v>0</v>
      </c>
      <c r="AA9">
        <v>-2.4</v>
      </c>
      <c r="AB9">
        <v>-0.06</v>
      </c>
      <c r="AC9">
        <v>0</v>
      </c>
      <c r="AD9">
        <v>0</v>
      </c>
      <c r="AE9">
        <v>-8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14.8</v>
      </c>
      <c r="AM9">
        <v>0</v>
      </c>
      <c r="AN9">
        <v>0</v>
      </c>
      <c r="AO9">
        <v>15.98</v>
      </c>
      <c r="AP9">
        <v>0</v>
      </c>
      <c r="AQ9">
        <v>0</v>
      </c>
      <c r="AR9">
        <v>592783586</v>
      </c>
    </row>
    <row r="10" spans="1:44" x14ac:dyDescent="0.25">
      <c r="A10" s="1">
        <v>46202.884273321761</v>
      </c>
      <c r="B10" s="2">
        <v>46202</v>
      </c>
      <c r="C10" s="1">
        <v>46202.675939988425</v>
      </c>
      <c r="D10" s="2">
        <v>46202</v>
      </c>
      <c r="E10" s="1">
        <v>46202.668388356484</v>
      </c>
      <c r="F10" s="1">
        <v>46202.675925740739</v>
      </c>
      <c r="G10" s="1">
        <v>46212.437817847225</v>
      </c>
      <c r="H10" s="2">
        <v>46212</v>
      </c>
      <c r="I10">
        <v>11717</v>
      </c>
      <c r="J10" t="s">
        <v>44</v>
      </c>
      <c r="K10">
        <v>241736</v>
      </c>
      <c r="L10" t="s">
        <v>45</v>
      </c>
      <c r="M10" t="s">
        <v>46</v>
      </c>
      <c r="N10" t="s">
        <v>47</v>
      </c>
      <c r="O10" t="s">
        <v>84</v>
      </c>
      <c r="P10">
        <v>17639614967</v>
      </c>
      <c r="Q10" t="s">
        <v>85</v>
      </c>
      <c r="R10" t="s">
        <v>86</v>
      </c>
      <c r="S10" t="s">
        <v>87</v>
      </c>
      <c r="T10" t="s">
        <v>48</v>
      </c>
      <c r="U10" t="s">
        <v>46</v>
      </c>
      <c r="V10" t="s">
        <v>49</v>
      </c>
      <c r="W10" t="s">
        <v>50</v>
      </c>
      <c r="X10">
        <v>25.57</v>
      </c>
      <c r="Y10">
        <v>2.0499999999999998</v>
      </c>
      <c r="Z10">
        <v>0</v>
      </c>
      <c r="AA10">
        <v>-3.84</v>
      </c>
      <c r="AB10">
        <v>-0.1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23.68</v>
      </c>
      <c r="AM10">
        <v>0</v>
      </c>
      <c r="AN10">
        <v>0</v>
      </c>
      <c r="AO10">
        <v>25.57</v>
      </c>
      <c r="AP10">
        <v>0</v>
      </c>
      <c r="AQ10">
        <v>0</v>
      </c>
      <c r="AR10">
        <v>592783586</v>
      </c>
    </row>
    <row r="11" spans="1:44" x14ac:dyDescent="0.25">
      <c r="A11" s="1">
        <v>46202.767520914349</v>
      </c>
      <c r="B11" s="2">
        <v>46202</v>
      </c>
      <c r="C11" s="1">
        <v>46202.559187581021</v>
      </c>
      <c r="D11" s="2">
        <v>46202</v>
      </c>
      <c r="E11" s="1">
        <v>46202.4941228588</v>
      </c>
      <c r="F11" s="1">
        <v>46202.559178460651</v>
      </c>
      <c r="G11" s="1">
        <v>46212.437817847225</v>
      </c>
      <c r="H11" s="2">
        <v>46212</v>
      </c>
      <c r="I11">
        <v>11717</v>
      </c>
      <c r="J11" t="s">
        <v>44</v>
      </c>
      <c r="K11">
        <v>241736</v>
      </c>
      <c r="L11" t="s">
        <v>45</v>
      </c>
      <c r="M11" t="s">
        <v>46</v>
      </c>
      <c r="N11" t="s">
        <v>47</v>
      </c>
      <c r="O11" t="s">
        <v>88</v>
      </c>
      <c r="P11">
        <v>17637956038</v>
      </c>
      <c r="Q11" t="s">
        <v>89</v>
      </c>
      <c r="R11" t="s">
        <v>90</v>
      </c>
      <c r="S11" t="s">
        <v>91</v>
      </c>
      <c r="T11" t="s">
        <v>48</v>
      </c>
      <c r="U11" t="s">
        <v>46</v>
      </c>
      <c r="V11" t="s">
        <v>51</v>
      </c>
      <c r="W11" t="s">
        <v>50</v>
      </c>
      <c r="X11">
        <v>30.17</v>
      </c>
      <c r="Y11">
        <v>2.41</v>
      </c>
      <c r="Z11">
        <v>4.88</v>
      </c>
      <c r="AA11">
        <v>-1.81</v>
      </c>
      <c r="AB11">
        <v>-0.12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35.53</v>
      </c>
      <c r="AM11">
        <v>0</v>
      </c>
      <c r="AN11">
        <v>0</v>
      </c>
      <c r="AO11">
        <v>30.17</v>
      </c>
      <c r="AP11">
        <v>0</v>
      </c>
      <c r="AQ11">
        <v>0</v>
      </c>
      <c r="AR11">
        <v>592783586</v>
      </c>
    </row>
    <row r="12" spans="1:44" x14ac:dyDescent="0.25">
      <c r="A12" s="1">
        <v>46201.930848715281</v>
      </c>
      <c r="B12" s="2">
        <v>46201</v>
      </c>
      <c r="C12" s="1">
        <v>46201.722515381945</v>
      </c>
      <c r="D12" s="2">
        <v>46201</v>
      </c>
      <c r="E12" s="1">
        <v>46201.708815474536</v>
      </c>
      <c r="F12" s="1">
        <v>46201.722501377313</v>
      </c>
      <c r="G12" s="1">
        <v>46205.43844150463</v>
      </c>
      <c r="H12" s="2">
        <v>46205</v>
      </c>
      <c r="I12">
        <v>11717</v>
      </c>
      <c r="J12" t="s">
        <v>44</v>
      </c>
      <c r="K12">
        <v>241736</v>
      </c>
      <c r="L12" t="s">
        <v>45</v>
      </c>
      <c r="M12" t="s">
        <v>46</v>
      </c>
      <c r="N12" t="s">
        <v>47</v>
      </c>
      <c r="O12" t="s">
        <v>92</v>
      </c>
      <c r="P12">
        <v>17630059103</v>
      </c>
      <c r="Q12" t="s">
        <v>93</v>
      </c>
      <c r="R12" t="s">
        <v>94</v>
      </c>
      <c r="S12" t="s">
        <v>95</v>
      </c>
      <c r="T12" t="s">
        <v>48</v>
      </c>
      <c r="U12" t="s">
        <v>46</v>
      </c>
      <c r="V12" t="s">
        <v>49</v>
      </c>
      <c r="W12" t="s">
        <v>50</v>
      </c>
      <c r="X12">
        <v>79.03</v>
      </c>
      <c r="Y12">
        <v>6.32</v>
      </c>
      <c r="Z12">
        <v>0</v>
      </c>
      <c r="AA12">
        <v>-11.85</v>
      </c>
      <c r="AB12">
        <v>-0.31</v>
      </c>
      <c r="AC12">
        <v>0</v>
      </c>
      <c r="AD12">
        <v>0</v>
      </c>
      <c r="AE12">
        <v>0</v>
      </c>
      <c r="AF12">
        <v>-3.99</v>
      </c>
      <c r="AG12">
        <v>0</v>
      </c>
      <c r="AH12">
        <v>3.99</v>
      </c>
      <c r="AI12">
        <v>0</v>
      </c>
      <c r="AJ12">
        <v>0</v>
      </c>
      <c r="AK12">
        <v>0</v>
      </c>
      <c r="AL12">
        <v>73.19</v>
      </c>
      <c r="AM12">
        <v>0</v>
      </c>
      <c r="AN12">
        <v>0</v>
      </c>
      <c r="AO12">
        <v>79.03</v>
      </c>
      <c r="AP12">
        <v>0</v>
      </c>
      <c r="AQ12">
        <v>0</v>
      </c>
      <c r="AR12">
        <v>591107629</v>
      </c>
    </row>
    <row r="13" spans="1:44" x14ac:dyDescent="0.25">
      <c r="A13" s="1">
        <v>46201.9254472338</v>
      </c>
      <c r="B13" s="2">
        <v>46201</v>
      </c>
      <c r="C13" s="1">
        <v>46201.717113900464</v>
      </c>
      <c r="D13" s="2">
        <v>46201</v>
      </c>
      <c r="E13" s="1">
        <v>46201.705891064812</v>
      </c>
      <c r="F13" s="1">
        <v>46201.717102372684</v>
      </c>
      <c r="G13" s="1">
        <v>46205.43844150463</v>
      </c>
      <c r="H13" s="2">
        <v>46205</v>
      </c>
      <c r="I13">
        <v>11717</v>
      </c>
      <c r="J13" t="s">
        <v>44</v>
      </c>
      <c r="K13">
        <v>241736</v>
      </c>
      <c r="L13" t="s">
        <v>45</v>
      </c>
      <c r="M13" t="s">
        <v>46</v>
      </c>
      <c r="N13" t="s">
        <v>47</v>
      </c>
      <c r="O13" t="s">
        <v>96</v>
      </c>
      <c r="P13">
        <v>17629959330</v>
      </c>
      <c r="Q13" t="s">
        <v>97</v>
      </c>
      <c r="R13" t="s">
        <v>98</v>
      </c>
      <c r="S13" t="s">
        <v>99</v>
      </c>
      <c r="T13" t="s">
        <v>48</v>
      </c>
      <c r="U13" t="s">
        <v>46</v>
      </c>
      <c r="V13" t="s">
        <v>49</v>
      </c>
      <c r="W13" t="s">
        <v>50</v>
      </c>
      <c r="X13">
        <v>42.82</v>
      </c>
      <c r="Y13">
        <v>3.43</v>
      </c>
      <c r="Z13">
        <v>0</v>
      </c>
      <c r="AA13">
        <v>-6.42</v>
      </c>
      <c r="AB13">
        <v>-0.17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39.659999999999997</v>
      </c>
      <c r="AM13">
        <v>0</v>
      </c>
      <c r="AN13">
        <v>0</v>
      </c>
      <c r="AO13">
        <v>42.82</v>
      </c>
      <c r="AP13">
        <v>0</v>
      </c>
      <c r="AQ13">
        <v>0</v>
      </c>
      <c r="AR13">
        <v>591107629</v>
      </c>
    </row>
    <row r="14" spans="1:44" x14ac:dyDescent="0.25">
      <c r="A14" s="1">
        <v>46201.91629241898</v>
      </c>
      <c r="B14" s="2">
        <v>46201</v>
      </c>
      <c r="C14" s="1">
        <v>46201.707959085645</v>
      </c>
      <c r="D14" s="2">
        <v>46201</v>
      </c>
      <c r="E14" s="1">
        <v>46201.69988078704</v>
      </c>
      <c r="F14" s="1">
        <v>46201.707933472222</v>
      </c>
      <c r="G14" s="1">
        <v>46205.43844150463</v>
      </c>
      <c r="H14" s="2">
        <v>46205</v>
      </c>
      <c r="I14">
        <v>11717</v>
      </c>
      <c r="J14" t="s">
        <v>44</v>
      </c>
      <c r="K14">
        <v>241736</v>
      </c>
      <c r="L14" t="s">
        <v>45</v>
      </c>
      <c r="M14" t="s">
        <v>46</v>
      </c>
      <c r="N14" t="s">
        <v>47</v>
      </c>
      <c r="O14" t="s">
        <v>100</v>
      </c>
      <c r="P14">
        <v>17629783380</v>
      </c>
      <c r="Q14" t="s">
        <v>101</v>
      </c>
      <c r="R14" t="s">
        <v>102</v>
      </c>
      <c r="S14" t="s">
        <v>103</v>
      </c>
      <c r="T14" t="s">
        <v>48</v>
      </c>
      <c r="U14" t="s">
        <v>46</v>
      </c>
      <c r="V14" t="s">
        <v>49</v>
      </c>
      <c r="W14" t="s">
        <v>50</v>
      </c>
      <c r="X14">
        <v>24.25</v>
      </c>
      <c r="Y14">
        <v>1.94</v>
      </c>
      <c r="Z14">
        <v>0</v>
      </c>
      <c r="AA14">
        <v>-3.64</v>
      </c>
      <c r="AB14">
        <v>-0.1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22.45</v>
      </c>
      <c r="AM14">
        <v>0</v>
      </c>
      <c r="AN14">
        <v>0</v>
      </c>
      <c r="AO14">
        <v>24.25</v>
      </c>
      <c r="AP14">
        <v>0</v>
      </c>
      <c r="AQ14">
        <v>0</v>
      </c>
      <c r="AR14">
        <v>591107629</v>
      </c>
    </row>
    <row r="15" spans="1:44" x14ac:dyDescent="0.25">
      <c r="A15" s="1">
        <v>46201.789264016203</v>
      </c>
      <c r="B15" s="2">
        <v>46201</v>
      </c>
      <c r="C15" s="1">
        <v>46201.580930682867</v>
      </c>
      <c r="D15" s="2">
        <v>46201</v>
      </c>
      <c r="E15" s="1">
        <v>46201.570767534722</v>
      </c>
      <c r="F15" s="1">
        <v>46201.580918495369</v>
      </c>
      <c r="G15" s="1">
        <v>46205.43844150463</v>
      </c>
      <c r="H15" s="2">
        <v>46205</v>
      </c>
      <c r="I15">
        <v>11717</v>
      </c>
      <c r="J15" t="s">
        <v>44</v>
      </c>
      <c r="K15">
        <v>241736</v>
      </c>
      <c r="L15" t="s">
        <v>45</v>
      </c>
      <c r="M15" t="s">
        <v>46</v>
      </c>
      <c r="N15" t="s">
        <v>47</v>
      </c>
      <c r="O15" t="s">
        <v>104</v>
      </c>
      <c r="P15">
        <v>17627726111</v>
      </c>
      <c r="Q15" t="s">
        <v>105</v>
      </c>
      <c r="R15" t="s">
        <v>106</v>
      </c>
      <c r="S15" t="s">
        <v>107</v>
      </c>
      <c r="T15" t="s">
        <v>48</v>
      </c>
      <c r="U15" t="s">
        <v>46</v>
      </c>
      <c r="V15" t="s">
        <v>49</v>
      </c>
      <c r="W15" t="s">
        <v>50</v>
      </c>
      <c r="X15">
        <v>19.079999999999998</v>
      </c>
      <c r="Y15">
        <v>1.53</v>
      </c>
      <c r="Z15">
        <v>0</v>
      </c>
      <c r="AA15">
        <v>-2.86</v>
      </c>
      <c r="AB15">
        <v>-0.08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17.670000000000002</v>
      </c>
      <c r="AM15">
        <v>0</v>
      </c>
      <c r="AN15">
        <v>0</v>
      </c>
      <c r="AO15">
        <v>19.079999999999998</v>
      </c>
      <c r="AP15">
        <v>0</v>
      </c>
      <c r="AQ15">
        <v>0</v>
      </c>
      <c r="AR15">
        <v>591107629</v>
      </c>
    </row>
    <row r="16" spans="1:44" x14ac:dyDescent="0.25">
      <c r="A16" s="1">
        <v>46201.76964140046</v>
      </c>
      <c r="B16" s="2">
        <v>46201</v>
      </c>
      <c r="C16" s="1">
        <v>46201.561308067132</v>
      </c>
      <c r="D16" s="2">
        <v>46201</v>
      </c>
      <c r="E16" s="1">
        <v>46201.554706655093</v>
      </c>
      <c r="F16" s="1">
        <v>46201.561294560182</v>
      </c>
      <c r="G16" s="1">
        <v>46205.43844150463</v>
      </c>
      <c r="H16" s="2">
        <v>46205</v>
      </c>
      <c r="I16">
        <v>11717</v>
      </c>
      <c r="J16" t="s">
        <v>44</v>
      </c>
      <c r="K16">
        <v>241736</v>
      </c>
      <c r="L16" t="s">
        <v>45</v>
      </c>
      <c r="M16" t="s">
        <v>46</v>
      </c>
      <c r="N16" t="s">
        <v>47</v>
      </c>
      <c r="O16" t="s">
        <v>108</v>
      </c>
      <c r="P16">
        <v>17627427076</v>
      </c>
      <c r="Q16" t="s">
        <v>109</v>
      </c>
      <c r="R16" t="s">
        <v>110</v>
      </c>
      <c r="S16" t="s">
        <v>111</v>
      </c>
      <c r="T16" t="s">
        <v>48</v>
      </c>
      <c r="U16" t="s">
        <v>46</v>
      </c>
      <c r="V16" t="s">
        <v>49</v>
      </c>
      <c r="W16" t="s">
        <v>50</v>
      </c>
      <c r="X16">
        <v>31.98</v>
      </c>
      <c r="Y16">
        <v>2.56</v>
      </c>
      <c r="Z16">
        <v>0</v>
      </c>
      <c r="AA16">
        <v>-4.8</v>
      </c>
      <c r="AB16">
        <v>-0.13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29.61</v>
      </c>
      <c r="AM16">
        <v>0</v>
      </c>
      <c r="AN16">
        <v>0</v>
      </c>
      <c r="AO16">
        <v>31.98</v>
      </c>
      <c r="AP16">
        <v>0</v>
      </c>
      <c r="AQ16">
        <v>0</v>
      </c>
      <c r="AR16">
        <v>591107629</v>
      </c>
    </row>
    <row r="17" spans="1:44" x14ac:dyDescent="0.25">
      <c r="A17" s="1">
        <v>46201.769596886574</v>
      </c>
      <c r="B17" s="2">
        <v>46201</v>
      </c>
      <c r="C17" s="1">
        <v>46201.561263553238</v>
      </c>
      <c r="D17" s="2">
        <v>46201</v>
      </c>
      <c r="E17" s="1">
        <v>46201.551664652776</v>
      </c>
      <c r="F17" s="1">
        <v>46201.561245636571</v>
      </c>
      <c r="G17" s="1">
        <v>46205.43844150463</v>
      </c>
      <c r="H17" s="2">
        <v>46205</v>
      </c>
      <c r="I17">
        <v>11717</v>
      </c>
      <c r="J17" t="s">
        <v>44</v>
      </c>
      <c r="K17">
        <v>241736</v>
      </c>
      <c r="L17" t="s">
        <v>45</v>
      </c>
      <c r="M17" t="s">
        <v>46</v>
      </c>
      <c r="N17" t="s">
        <v>47</v>
      </c>
      <c r="O17" t="s">
        <v>112</v>
      </c>
      <c r="P17">
        <v>17627426422</v>
      </c>
      <c r="Q17" t="s">
        <v>113</v>
      </c>
      <c r="R17" t="s">
        <v>114</v>
      </c>
      <c r="S17" t="s">
        <v>115</v>
      </c>
      <c r="T17" t="s">
        <v>48</v>
      </c>
      <c r="U17" t="s">
        <v>46</v>
      </c>
      <c r="V17" t="s">
        <v>49</v>
      </c>
      <c r="W17" t="s">
        <v>50</v>
      </c>
      <c r="X17">
        <v>39.56</v>
      </c>
      <c r="Y17">
        <v>3.16</v>
      </c>
      <c r="Z17">
        <v>0</v>
      </c>
      <c r="AA17">
        <v>-5.93</v>
      </c>
      <c r="AB17">
        <v>-0.16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36.630000000000003</v>
      </c>
      <c r="AM17">
        <v>0</v>
      </c>
      <c r="AN17">
        <v>0</v>
      </c>
      <c r="AO17">
        <v>39.56</v>
      </c>
      <c r="AP17">
        <v>0</v>
      </c>
      <c r="AQ17">
        <v>0</v>
      </c>
      <c r="AR17">
        <v>591107629</v>
      </c>
    </row>
    <row r="18" spans="1:44" x14ac:dyDescent="0.25">
      <c r="A18" s="1">
        <v>46201.736030891203</v>
      </c>
      <c r="B18" s="2">
        <v>46201</v>
      </c>
      <c r="C18" s="1">
        <v>46201.527697557867</v>
      </c>
      <c r="D18" s="2">
        <v>46201</v>
      </c>
      <c r="E18" s="1">
        <v>46201.516627638892</v>
      </c>
      <c r="F18" s="1">
        <v>46201.527686099536</v>
      </c>
      <c r="G18" s="1">
        <v>46205.43844150463</v>
      </c>
      <c r="H18" s="2">
        <v>46205</v>
      </c>
      <c r="I18">
        <v>11717</v>
      </c>
      <c r="J18" t="s">
        <v>44</v>
      </c>
      <c r="K18">
        <v>241736</v>
      </c>
      <c r="L18" t="s">
        <v>45</v>
      </c>
      <c r="M18" t="s">
        <v>46</v>
      </c>
      <c r="N18" t="s">
        <v>47</v>
      </c>
      <c r="O18" t="s">
        <v>116</v>
      </c>
      <c r="P18">
        <v>17626937015</v>
      </c>
      <c r="Q18" t="s">
        <v>117</v>
      </c>
      <c r="R18" t="s">
        <v>118</v>
      </c>
      <c r="S18" t="s">
        <v>119</v>
      </c>
      <c r="T18" t="s">
        <v>48</v>
      </c>
      <c r="U18" t="s">
        <v>46</v>
      </c>
      <c r="V18" t="s">
        <v>49</v>
      </c>
      <c r="W18" t="s">
        <v>50</v>
      </c>
      <c r="X18">
        <v>22.48</v>
      </c>
      <c r="Y18">
        <v>1.8</v>
      </c>
      <c r="Z18">
        <v>0</v>
      </c>
      <c r="AA18">
        <v>-3.37</v>
      </c>
      <c r="AB18">
        <v>-0.09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20.82</v>
      </c>
      <c r="AM18">
        <v>0</v>
      </c>
      <c r="AN18">
        <v>0</v>
      </c>
      <c r="AO18">
        <v>22.48</v>
      </c>
      <c r="AP18">
        <v>0</v>
      </c>
      <c r="AQ18">
        <v>0</v>
      </c>
      <c r="AR18">
        <v>591107629</v>
      </c>
    </row>
    <row r="19" spans="1:44" x14ac:dyDescent="0.25">
      <c r="A19" s="1">
        <v>46201.731384861108</v>
      </c>
      <c r="B19" s="2">
        <v>46201</v>
      </c>
      <c r="C19" s="1">
        <v>46201.52305152778</v>
      </c>
      <c r="D19" s="2">
        <v>46201</v>
      </c>
      <c r="E19" s="1">
        <v>46201.510510115739</v>
      </c>
      <c r="F19" s="1">
        <v>46201.523037523148</v>
      </c>
      <c r="G19" s="1">
        <v>46205.43844150463</v>
      </c>
      <c r="H19" s="2">
        <v>46205</v>
      </c>
      <c r="I19">
        <v>11717</v>
      </c>
      <c r="J19" t="s">
        <v>44</v>
      </c>
      <c r="K19">
        <v>241736</v>
      </c>
      <c r="L19" t="s">
        <v>45</v>
      </c>
      <c r="M19" t="s">
        <v>46</v>
      </c>
      <c r="N19" t="s">
        <v>47</v>
      </c>
      <c r="O19" t="s">
        <v>120</v>
      </c>
      <c r="P19">
        <v>17626871438</v>
      </c>
      <c r="Q19" t="s">
        <v>121</v>
      </c>
      <c r="R19" t="s">
        <v>122</v>
      </c>
      <c r="S19" t="s">
        <v>123</v>
      </c>
      <c r="T19" t="s">
        <v>48</v>
      </c>
      <c r="U19" t="s">
        <v>46</v>
      </c>
      <c r="V19" t="s">
        <v>49</v>
      </c>
      <c r="W19" t="s">
        <v>50</v>
      </c>
      <c r="X19">
        <v>23.08</v>
      </c>
      <c r="Y19">
        <v>1.85</v>
      </c>
      <c r="Z19">
        <v>0</v>
      </c>
      <c r="AA19">
        <v>-3.46</v>
      </c>
      <c r="AB19">
        <v>-0.09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21.38</v>
      </c>
      <c r="AM19">
        <v>0</v>
      </c>
      <c r="AN19">
        <v>0</v>
      </c>
      <c r="AO19">
        <v>23.08</v>
      </c>
      <c r="AP19">
        <v>0</v>
      </c>
      <c r="AQ19">
        <v>0</v>
      </c>
      <c r="AR19">
        <v>591107629</v>
      </c>
    </row>
    <row r="20" spans="1:44" x14ac:dyDescent="0.25">
      <c r="A20" s="1">
        <v>46201.048867303238</v>
      </c>
      <c r="B20" s="2">
        <v>46201</v>
      </c>
      <c r="C20" s="1">
        <v>46200.840533969909</v>
      </c>
      <c r="D20" s="2">
        <v>46200</v>
      </c>
      <c r="E20" s="1">
        <v>46200.819866666665</v>
      </c>
      <c r="F20" s="1">
        <v>46200.840520266203</v>
      </c>
      <c r="G20" s="1">
        <v>46205.43844150463</v>
      </c>
      <c r="H20" s="2">
        <v>46205</v>
      </c>
      <c r="I20">
        <v>11717</v>
      </c>
      <c r="J20" t="s">
        <v>44</v>
      </c>
      <c r="K20">
        <v>241736</v>
      </c>
      <c r="L20" t="s">
        <v>45</v>
      </c>
      <c r="M20" t="s">
        <v>46</v>
      </c>
      <c r="N20" t="s">
        <v>47</v>
      </c>
      <c r="O20" t="s">
        <v>124</v>
      </c>
      <c r="P20">
        <v>17621037548</v>
      </c>
      <c r="Q20" t="s">
        <v>125</v>
      </c>
      <c r="R20" t="s">
        <v>126</v>
      </c>
      <c r="S20" t="s">
        <v>127</v>
      </c>
      <c r="T20" t="s">
        <v>48</v>
      </c>
      <c r="U20" t="s">
        <v>46</v>
      </c>
      <c r="V20" t="s">
        <v>49</v>
      </c>
      <c r="W20" t="s">
        <v>50</v>
      </c>
      <c r="X20">
        <v>24.58</v>
      </c>
      <c r="Y20">
        <v>1.33</v>
      </c>
      <c r="Z20">
        <v>0</v>
      </c>
      <c r="AA20">
        <v>-2.4900000000000002</v>
      </c>
      <c r="AB20">
        <v>-7.0000000000000007E-2</v>
      </c>
      <c r="AC20">
        <v>0</v>
      </c>
      <c r="AD20">
        <v>0</v>
      </c>
      <c r="AE20">
        <v>-8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15.35</v>
      </c>
      <c r="AM20">
        <v>0</v>
      </c>
      <c r="AN20">
        <v>0</v>
      </c>
      <c r="AO20">
        <v>16.579999999999998</v>
      </c>
      <c r="AP20">
        <v>0</v>
      </c>
      <c r="AQ20">
        <v>0</v>
      </c>
      <c r="AR20">
        <v>591107629</v>
      </c>
    </row>
    <row r="21" spans="1:44" x14ac:dyDescent="0.25">
      <c r="A21" s="1">
        <v>46201.048168657406</v>
      </c>
      <c r="B21" s="2">
        <v>46201</v>
      </c>
      <c r="C21" s="1">
        <v>46200.839835324077</v>
      </c>
      <c r="D21" s="2">
        <v>46200</v>
      </c>
      <c r="E21" s="1">
        <v>46200.824104872685</v>
      </c>
      <c r="F21" s="1">
        <v>46200.839823935188</v>
      </c>
      <c r="G21" s="1">
        <v>46205.43844150463</v>
      </c>
      <c r="H21" s="2">
        <v>46205</v>
      </c>
      <c r="I21">
        <v>11717</v>
      </c>
      <c r="J21" t="s">
        <v>44</v>
      </c>
      <c r="K21">
        <v>241736</v>
      </c>
      <c r="L21" t="s">
        <v>45</v>
      </c>
      <c r="M21" t="s">
        <v>46</v>
      </c>
      <c r="N21" t="s">
        <v>47</v>
      </c>
      <c r="O21" t="s">
        <v>128</v>
      </c>
      <c r="P21">
        <v>17621022995</v>
      </c>
      <c r="Q21" t="s">
        <v>129</v>
      </c>
      <c r="R21" t="s">
        <v>130</v>
      </c>
      <c r="S21" t="s">
        <v>131</v>
      </c>
      <c r="T21" t="s">
        <v>48</v>
      </c>
      <c r="U21" t="s">
        <v>46</v>
      </c>
      <c r="V21" t="s">
        <v>49</v>
      </c>
      <c r="W21" t="s">
        <v>50</v>
      </c>
      <c r="X21">
        <v>18.97</v>
      </c>
      <c r="Y21">
        <v>1.52</v>
      </c>
      <c r="Z21">
        <v>0</v>
      </c>
      <c r="AA21">
        <v>-2.85</v>
      </c>
      <c r="AB21">
        <v>-7.0000000000000007E-2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17.57</v>
      </c>
      <c r="AM21">
        <v>0</v>
      </c>
      <c r="AN21">
        <v>0</v>
      </c>
      <c r="AO21">
        <v>18.97</v>
      </c>
      <c r="AP21">
        <v>0</v>
      </c>
      <c r="AQ21">
        <v>0</v>
      </c>
      <c r="AR21">
        <v>591107629</v>
      </c>
    </row>
    <row r="22" spans="1:44" x14ac:dyDescent="0.25">
      <c r="A22" s="1">
        <v>46201.019200127317</v>
      </c>
      <c r="B22" s="2">
        <v>46201</v>
      </c>
      <c r="C22" s="1">
        <v>46200.810866793981</v>
      </c>
      <c r="D22" s="2">
        <v>46200</v>
      </c>
      <c r="E22" s="1">
        <v>46200.803540497684</v>
      </c>
      <c r="F22" s="1">
        <v>46200.810850624999</v>
      </c>
      <c r="G22" s="1">
        <v>46205.43844150463</v>
      </c>
      <c r="H22" s="2">
        <v>46205</v>
      </c>
      <c r="I22">
        <v>11717</v>
      </c>
      <c r="J22" t="s">
        <v>44</v>
      </c>
      <c r="K22">
        <v>241736</v>
      </c>
      <c r="L22" t="s">
        <v>45</v>
      </c>
      <c r="M22" t="s">
        <v>46</v>
      </c>
      <c r="N22" t="s">
        <v>47</v>
      </c>
      <c r="O22" t="s">
        <v>132</v>
      </c>
      <c r="P22">
        <v>17620382011</v>
      </c>
      <c r="Q22" t="s">
        <v>133</v>
      </c>
      <c r="R22" t="s">
        <v>134</v>
      </c>
      <c r="S22" t="s">
        <v>135</v>
      </c>
      <c r="T22" t="s">
        <v>48</v>
      </c>
      <c r="U22" t="s">
        <v>46</v>
      </c>
      <c r="V22" t="s">
        <v>49</v>
      </c>
      <c r="W22" t="s">
        <v>50</v>
      </c>
      <c r="X22">
        <v>9.25</v>
      </c>
      <c r="Y22">
        <v>0.74</v>
      </c>
      <c r="Z22">
        <v>0</v>
      </c>
      <c r="AA22">
        <v>-1.39</v>
      </c>
      <c r="AB22">
        <v>-0.04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8.56</v>
      </c>
      <c r="AM22">
        <v>0</v>
      </c>
      <c r="AN22">
        <v>0</v>
      </c>
      <c r="AO22">
        <v>9.25</v>
      </c>
      <c r="AP22">
        <v>0</v>
      </c>
      <c r="AQ22">
        <v>0</v>
      </c>
      <c r="AR22">
        <v>591107629</v>
      </c>
    </row>
    <row r="23" spans="1:44" x14ac:dyDescent="0.25">
      <c r="A23" s="1">
        <v>46200.807630659721</v>
      </c>
      <c r="B23" s="2">
        <v>46200</v>
      </c>
      <c r="C23" s="1">
        <v>46200.599297326386</v>
      </c>
      <c r="D23" s="2">
        <v>46200</v>
      </c>
      <c r="E23" s="1">
        <v>46200.58994633102</v>
      </c>
      <c r="F23" s="1">
        <v>46200.599285914352</v>
      </c>
      <c r="G23" s="1">
        <v>46205.43844150463</v>
      </c>
      <c r="H23" s="2">
        <v>46205</v>
      </c>
      <c r="I23">
        <v>11717</v>
      </c>
      <c r="J23" t="s">
        <v>44</v>
      </c>
      <c r="K23">
        <v>241736</v>
      </c>
      <c r="L23" t="s">
        <v>45</v>
      </c>
      <c r="M23" t="s">
        <v>46</v>
      </c>
      <c r="N23" t="s">
        <v>47</v>
      </c>
      <c r="O23" t="s">
        <v>136</v>
      </c>
      <c r="P23">
        <v>17616387287</v>
      </c>
      <c r="Q23" t="s">
        <v>137</v>
      </c>
      <c r="R23" t="s">
        <v>138</v>
      </c>
      <c r="S23" t="s">
        <v>139</v>
      </c>
      <c r="T23" t="s">
        <v>48</v>
      </c>
      <c r="U23" t="s">
        <v>46</v>
      </c>
      <c r="V23" t="s">
        <v>49</v>
      </c>
      <c r="W23" t="s">
        <v>50</v>
      </c>
      <c r="X23">
        <v>33.33</v>
      </c>
      <c r="Y23">
        <v>2.0299999999999998</v>
      </c>
      <c r="Z23">
        <v>0</v>
      </c>
      <c r="AA23">
        <v>-3.8</v>
      </c>
      <c r="AB23">
        <v>-0.1</v>
      </c>
      <c r="AC23">
        <v>0</v>
      </c>
      <c r="AD23">
        <v>0</v>
      </c>
      <c r="AE23">
        <v>-8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23.46</v>
      </c>
      <c r="AM23">
        <v>0</v>
      </c>
      <c r="AN23">
        <v>0</v>
      </c>
      <c r="AO23">
        <v>25.33</v>
      </c>
      <c r="AP23">
        <v>0</v>
      </c>
      <c r="AQ23">
        <v>0</v>
      </c>
      <c r="AR23">
        <v>591107629</v>
      </c>
    </row>
    <row r="24" spans="1:44" x14ac:dyDescent="0.25">
      <c r="A24" s="1">
        <v>46200.027583356481</v>
      </c>
      <c r="B24" s="2">
        <v>46200</v>
      </c>
      <c r="C24" s="1">
        <v>46199.819250023145</v>
      </c>
      <c r="D24" s="2">
        <v>46199</v>
      </c>
      <c r="E24" s="1">
        <v>46199.810970416664</v>
      </c>
      <c r="F24" s="1">
        <v>46199.819235150462</v>
      </c>
      <c r="G24" s="1">
        <v>46205.43844150463</v>
      </c>
      <c r="H24" s="2">
        <v>46205</v>
      </c>
      <c r="I24">
        <v>11717</v>
      </c>
      <c r="J24" t="s">
        <v>44</v>
      </c>
      <c r="K24">
        <v>241736</v>
      </c>
      <c r="L24" t="s">
        <v>45</v>
      </c>
      <c r="M24" t="s">
        <v>46</v>
      </c>
      <c r="N24" t="s">
        <v>47</v>
      </c>
      <c r="O24" t="s">
        <v>140</v>
      </c>
      <c r="P24">
        <v>17608608457</v>
      </c>
      <c r="Q24" t="s">
        <v>141</v>
      </c>
      <c r="R24" t="s">
        <v>142</v>
      </c>
      <c r="S24" t="s">
        <v>143</v>
      </c>
      <c r="T24" t="s">
        <v>48</v>
      </c>
      <c r="U24" t="s">
        <v>46</v>
      </c>
      <c r="V24" t="s">
        <v>49</v>
      </c>
      <c r="W24" t="s">
        <v>50</v>
      </c>
      <c r="X24">
        <v>18.68</v>
      </c>
      <c r="Y24">
        <v>1.49</v>
      </c>
      <c r="Z24">
        <v>0</v>
      </c>
      <c r="AA24">
        <v>-2.8</v>
      </c>
      <c r="AB24">
        <v>-7.0000000000000007E-2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17.3</v>
      </c>
      <c r="AM24">
        <v>0</v>
      </c>
      <c r="AN24">
        <v>0</v>
      </c>
      <c r="AO24">
        <v>18.68</v>
      </c>
      <c r="AP24">
        <v>0</v>
      </c>
      <c r="AQ24">
        <v>0</v>
      </c>
      <c r="AR24">
        <v>591107629</v>
      </c>
    </row>
    <row r="25" spans="1:44" x14ac:dyDescent="0.25">
      <c r="A25" s="1">
        <v>46199.991937604165</v>
      </c>
      <c r="B25" s="2">
        <v>46199</v>
      </c>
      <c r="C25" s="1">
        <v>46199.783604270837</v>
      </c>
      <c r="D25" s="2">
        <v>46199</v>
      </c>
      <c r="E25" s="1">
        <v>46199.767459895833</v>
      </c>
      <c r="F25" s="1">
        <v>46199.783590185187</v>
      </c>
      <c r="G25" s="1">
        <v>46205.43844150463</v>
      </c>
      <c r="H25" s="2">
        <v>46205</v>
      </c>
      <c r="I25">
        <v>11717</v>
      </c>
      <c r="J25" t="s">
        <v>44</v>
      </c>
      <c r="K25">
        <v>241736</v>
      </c>
      <c r="L25" t="s">
        <v>45</v>
      </c>
      <c r="M25" t="s">
        <v>46</v>
      </c>
      <c r="N25" t="s">
        <v>47</v>
      </c>
      <c r="O25" t="s">
        <v>144</v>
      </c>
      <c r="P25">
        <v>17607726476</v>
      </c>
      <c r="Q25" t="s">
        <v>145</v>
      </c>
      <c r="R25" t="s">
        <v>146</v>
      </c>
      <c r="S25" t="s">
        <v>147</v>
      </c>
      <c r="T25" t="s">
        <v>48</v>
      </c>
      <c r="U25" t="s">
        <v>46</v>
      </c>
      <c r="V25" t="s">
        <v>49</v>
      </c>
      <c r="W25" t="s">
        <v>50</v>
      </c>
      <c r="X25">
        <v>33.82</v>
      </c>
      <c r="Y25">
        <v>2.71</v>
      </c>
      <c r="Z25">
        <v>0</v>
      </c>
      <c r="AA25">
        <v>-5.07</v>
      </c>
      <c r="AB25">
        <v>-0.13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31.33</v>
      </c>
      <c r="AM25">
        <v>0</v>
      </c>
      <c r="AN25">
        <v>0</v>
      </c>
      <c r="AO25">
        <v>33.82</v>
      </c>
      <c r="AP25">
        <v>0</v>
      </c>
      <c r="AQ25">
        <v>0</v>
      </c>
      <c r="AR25">
        <v>591107629</v>
      </c>
    </row>
    <row r="26" spans="1:44" x14ac:dyDescent="0.25">
      <c r="A26" s="1">
        <v>46199.99007068287</v>
      </c>
      <c r="B26" s="2">
        <v>46199</v>
      </c>
      <c r="C26" s="1">
        <v>46199.781737349535</v>
      </c>
      <c r="D26" s="2">
        <v>46199</v>
      </c>
      <c r="E26" s="1">
        <v>46199.773916076389</v>
      </c>
      <c r="F26" s="1">
        <v>46199.781717152779</v>
      </c>
      <c r="G26" s="1">
        <v>46205.43844150463</v>
      </c>
      <c r="H26" s="2">
        <v>46205</v>
      </c>
      <c r="I26">
        <v>11717</v>
      </c>
      <c r="J26" t="s">
        <v>44</v>
      </c>
      <c r="K26">
        <v>241736</v>
      </c>
      <c r="L26" t="s">
        <v>45</v>
      </c>
      <c r="M26" t="s">
        <v>46</v>
      </c>
      <c r="N26" t="s">
        <v>47</v>
      </c>
      <c r="O26" t="s">
        <v>148</v>
      </c>
      <c r="P26">
        <v>17607681255</v>
      </c>
      <c r="Q26" t="s">
        <v>149</v>
      </c>
      <c r="R26" t="s">
        <v>150</v>
      </c>
      <c r="S26" t="s">
        <v>151</v>
      </c>
      <c r="T26" t="s">
        <v>48</v>
      </c>
      <c r="U26" t="s">
        <v>46</v>
      </c>
      <c r="V26" t="s">
        <v>49</v>
      </c>
      <c r="W26" t="s">
        <v>50</v>
      </c>
      <c r="X26">
        <v>22.58</v>
      </c>
      <c r="Y26">
        <v>1.81</v>
      </c>
      <c r="Z26">
        <v>0</v>
      </c>
      <c r="AA26">
        <v>-3.39</v>
      </c>
      <c r="AB26">
        <v>-0.09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20.91</v>
      </c>
      <c r="AM26">
        <v>0</v>
      </c>
      <c r="AN26">
        <v>0</v>
      </c>
      <c r="AO26">
        <v>22.58</v>
      </c>
      <c r="AP26">
        <v>0</v>
      </c>
      <c r="AQ26">
        <v>0</v>
      </c>
      <c r="AR26">
        <v>591107629</v>
      </c>
    </row>
    <row r="27" spans="1:44" x14ac:dyDescent="0.25">
      <c r="A27" s="1">
        <v>46199.913152060188</v>
      </c>
      <c r="B27" s="2">
        <v>46199</v>
      </c>
      <c r="C27" s="1">
        <v>46199.704818726852</v>
      </c>
      <c r="D27" s="2">
        <v>46199</v>
      </c>
      <c r="E27" s="1">
        <v>46199.694678761574</v>
      </c>
      <c r="F27" s="1">
        <v>46199.704804097222</v>
      </c>
      <c r="G27" s="1">
        <v>46205.43844150463</v>
      </c>
      <c r="H27" s="2">
        <v>46205</v>
      </c>
      <c r="I27">
        <v>11717</v>
      </c>
      <c r="J27" t="s">
        <v>44</v>
      </c>
      <c r="K27">
        <v>241736</v>
      </c>
      <c r="L27" t="s">
        <v>45</v>
      </c>
      <c r="M27" t="s">
        <v>46</v>
      </c>
      <c r="N27" t="s">
        <v>47</v>
      </c>
      <c r="O27" t="s">
        <v>152</v>
      </c>
      <c r="P27">
        <v>17605961937</v>
      </c>
      <c r="Q27" t="s">
        <v>153</v>
      </c>
      <c r="R27" t="s">
        <v>154</v>
      </c>
      <c r="S27" t="s">
        <v>155</v>
      </c>
      <c r="T27" t="s">
        <v>48</v>
      </c>
      <c r="U27" t="s">
        <v>46</v>
      </c>
      <c r="V27" t="s">
        <v>49</v>
      </c>
      <c r="W27" t="s">
        <v>50</v>
      </c>
      <c r="X27">
        <v>36.479999999999997</v>
      </c>
      <c r="Y27">
        <v>2.2799999999999998</v>
      </c>
      <c r="Z27">
        <v>0</v>
      </c>
      <c r="AA27">
        <v>-4.2699999999999996</v>
      </c>
      <c r="AB27">
        <v>-0.11</v>
      </c>
      <c r="AC27">
        <v>0</v>
      </c>
      <c r="AD27">
        <v>0</v>
      </c>
      <c r="AE27">
        <v>-8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26.38</v>
      </c>
      <c r="AM27">
        <v>0</v>
      </c>
      <c r="AN27">
        <v>0</v>
      </c>
      <c r="AO27">
        <v>28.48</v>
      </c>
      <c r="AP27">
        <v>0</v>
      </c>
      <c r="AQ27">
        <v>0</v>
      </c>
      <c r="AR27">
        <v>591107629</v>
      </c>
    </row>
    <row r="28" spans="1:44" x14ac:dyDescent="0.25">
      <c r="A28" s="1">
        <v>46199.844050810185</v>
      </c>
      <c r="B28" s="2">
        <v>46199</v>
      </c>
      <c r="C28" s="1">
        <v>46199.635717476849</v>
      </c>
      <c r="D28" s="2">
        <v>46199</v>
      </c>
      <c r="E28" s="1">
        <v>46199.628298194446</v>
      </c>
      <c r="F28" s="1">
        <v>46199.635706793983</v>
      </c>
      <c r="G28" s="1">
        <v>46205.43844150463</v>
      </c>
      <c r="H28" s="2">
        <v>46205</v>
      </c>
      <c r="I28">
        <v>11717</v>
      </c>
      <c r="J28" t="s">
        <v>44</v>
      </c>
      <c r="K28">
        <v>241736</v>
      </c>
      <c r="L28" t="s">
        <v>45</v>
      </c>
      <c r="M28" t="s">
        <v>46</v>
      </c>
      <c r="N28" t="s">
        <v>47</v>
      </c>
      <c r="O28" t="s">
        <v>156</v>
      </c>
      <c r="P28">
        <v>17604800479</v>
      </c>
      <c r="Q28" t="s">
        <v>157</v>
      </c>
      <c r="R28" t="s">
        <v>158</v>
      </c>
      <c r="S28" t="s">
        <v>159</v>
      </c>
      <c r="T28" t="s">
        <v>48</v>
      </c>
      <c r="U28" t="s">
        <v>46</v>
      </c>
      <c r="V28" t="s">
        <v>49</v>
      </c>
      <c r="W28" t="s">
        <v>50</v>
      </c>
      <c r="X28">
        <v>13</v>
      </c>
      <c r="Y28">
        <v>1.04</v>
      </c>
      <c r="Z28">
        <v>0</v>
      </c>
      <c r="AA28">
        <v>-1.95</v>
      </c>
      <c r="AB28">
        <v>-0.05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12.04</v>
      </c>
      <c r="AM28">
        <v>0</v>
      </c>
      <c r="AN28">
        <v>0</v>
      </c>
      <c r="AO28">
        <v>13</v>
      </c>
      <c r="AP28">
        <v>0</v>
      </c>
      <c r="AQ28">
        <v>0</v>
      </c>
      <c r="AR28">
        <v>591107629</v>
      </c>
    </row>
    <row r="29" spans="1:44" x14ac:dyDescent="0.25">
      <c r="A29" s="1">
        <v>46199.813663043984</v>
      </c>
      <c r="B29" s="2">
        <v>46199</v>
      </c>
      <c r="C29" s="1">
        <v>46199.605329710648</v>
      </c>
      <c r="D29" s="2">
        <v>46199</v>
      </c>
      <c r="E29" s="1">
        <v>46199.597231030093</v>
      </c>
      <c r="F29" s="1">
        <v>46199.605317696762</v>
      </c>
      <c r="G29" s="1">
        <v>46205.43844150463</v>
      </c>
      <c r="H29" s="2">
        <v>46205</v>
      </c>
      <c r="I29">
        <v>11717</v>
      </c>
      <c r="J29" t="s">
        <v>44</v>
      </c>
      <c r="K29">
        <v>241736</v>
      </c>
      <c r="L29" t="s">
        <v>45</v>
      </c>
      <c r="M29" t="s">
        <v>46</v>
      </c>
      <c r="N29" t="s">
        <v>47</v>
      </c>
      <c r="O29" t="s">
        <v>160</v>
      </c>
      <c r="P29">
        <v>17604332027</v>
      </c>
      <c r="Q29" t="s">
        <v>161</v>
      </c>
      <c r="R29" t="s">
        <v>162</v>
      </c>
      <c r="S29" t="s">
        <v>163</v>
      </c>
      <c r="T29" t="s">
        <v>48</v>
      </c>
      <c r="U29" t="s">
        <v>46</v>
      </c>
      <c r="V29" t="s">
        <v>49</v>
      </c>
      <c r="W29" t="s">
        <v>50</v>
      </c>
      <c r="X29">
        <v>28.98</v>
      </c>
      <c r="Y29">
        <v>2.3199999999999998</v>
      </c>
      <c r="Z29">
        <v>0</v>
      </c>
      <c r="AA29">
        <v>-4.3499999999999996</v>
      </c>
      <c r="AB29">
        <v>-0.11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26.84</v>
      </c>
      <c r="AM29">
        <v>0</v>
      </c>
      <c r="AN29">
        <v>0</v>
      </c>
      <c r="AO29">
        <v>28.98</v>
      </c>
      <c r="AP29">
        <v>0</v>
      </c>
      <c r="AQ29">
        <v>0</v>
      </c>
      <c r="AR29">
        <v>591107629</v>
      </c>
    </row>
    <row r="30" spans="1:44" x14ac:dyDescent="0.25">
      <c r="A30" s="1">
        <v>46199.775086921298</v>
      </c>
      <c r="B30" s="2">
        <v>46199</v>
      </c>
      <c r="C30" s="1">
        <v>46199.566753587962</v>
      </c>
      <c r="D30" s="2">
        <v>46199</v>
      </c>
      <c r="E30" s="1">
        <v>46199.560282824074</v>
      </c>
      <c r="F30" s="1">
        <v>46199.566742280091</v>
      </c>
      <c r="G30" s="1">
        <v>46205.43844150463</v>
      </c>
      <c r="H30" s="2">
        <v>46205</v>
      </c>
      <c r="I30">
        <v>11717</v>
      </c>
      <c r="J30" t="s">
        <v>44</v>
      </c>
      <c r="K30">
        <v>241736</v>
      </c>
      <c r="L30" t="s">
        <v>45</v>
      </c>
      <c r="M30" t="s">
        <v>46</v>
      </c>
      <c r="N30" t="s">
        <v>47</v>
      </c>
      <c r="O30" t="s">
        <v>164</v>
      </c>
      <c r="P30">
        <v>17603707432</v>
      </c>
      <c r="Q30" t="s">
        <v>165</v>
      </c>
      <c r="R30" t="s">
        <v>166</v>
      </c>
      <c r="S30" t="s">
        <v>167</v>
      </c>
      <c r="T30" t="s">
        <v>48</v>
      </c>
      <c r="U30" t="s">
        <v>46</v>
      </c>
      <c r="V30" t="s">
        <v>49</v>
      </c>
      <c r="W30" t="s">
        <v>50</v>
      </c>
      <c r="X30">
        <v>21.97</v>
      </c>
      <c r="Y30">
        <v>1.76</v>
      </c>
      <c r="Z30">
        <v>0</v>
      </c>
      <c r="AA30">
        <v>-3.3</v>
      </c>
      <c r="AB30">
        <v>-0.09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20.34</v>
      </c>
      <c r="AM30">
        <v>0</v>
      </c>
      <c r="AN30">
        <v>0</v>
      </c>
      <c r="AO30">
        <v>21.97</v>
      </c>
      <c r="AP30">
        <v>0</v>
      </c>
      <c r="AQ30">
        <v>0</v>
      </c>
      <c r="AR30">
        <v>591107629</v>
      </c>
    </row>
    <row r="31" spans="1:44" x14ac:dyDescent="0.25">
      <c r="A31" s="1">
        <v>46199.720239861112</v>
      </c>
      <c r="B31" s="2">
        <v>46199</v>
      </c>
      <c r="C31" s="1">
        <v>46199.511906527776</v>
      </c>
      <c r="D31" s="2">
        <v>46199</v>
      </c>
      <c r="E31" s="1">
        <v>46199.50167784722</v>
      </c>
      <c r="F31" s="1">
        <v>46199.511894583331</v>
      </c>
      <c r="G31" s="1">
        <v>46205.43844150463</v>
      </c>
      <c r="H31" s="2">
        <v>46205</v>
      </c>
      <c r="I31">
        <v>11717</v>
      </c>
      <c r="J31" t="s">
        <v>44</v>
      </c>
      <c r="K31">
        <v>241736</v>
      </c>
      <c r="L31" t="s">
        <v>45</v>
      </c>
      <c r="M31" t="s">
        <v>46</v>
      </c>
      <c r="N31" t="s">
        <v>47</v>
      </c>
      <c r="O31" t="s">
        <v>168</v>
      </c>
      <c r="P31">
        <v>17602780070</v>
      </c>
      <c r="Q31" t="s">
        <v>169</v>
      </c>
      <c r="R31" t="s">
        <v>170</v>
      </c>
      <c r="S31" t="s">
        <v>171</v>
      </c>
      <c r="T31" t="s">
        <v>48</v>
      </c>
      <c r="U31" t="s">
        <v>46</v>
      </c>
      <c r="V31" t="s">
        <v>49</v>
      </c>
      <c r="W31" t="s">
        <v>50</v>
      </c>
      <c r="X31">
        <v>21.59</v>
      </c>
      <c r="Y31">
        <v>1.0900000000000001</v>
      </c>
      <c r="Z31">
        <v>0</v>
      </c>
      <c r="AA31">
        <v>-2.04</v>
      </c>
      <c r="AB31">
        <v>-0.05</v>
      </c>
      <c r="AC31">
        <v>0</v>
      </c>
      <c r="AD31">
        <v>0</v>
      </c>
      <c r="AE31">
        <v>-8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12.59</v>
      </c>
      <c r="AM31">
        <v>0</v>
      </c>
      <c r="AN31">
        <v>0</v>
      </c>
      <c r="AO31">
        <v>13.59</v>
      </c>
      <c r="AP31">
        <v>0</v>
      </c>
      <c r="AQ31">
        <v>0</v>
      </c>
      <c r="AR31">
        <v>591107629</v>
      </c>
    </row>
    <row r="32" spans="1:44" x14ac:dyDescent="0.25">
      <c r="A32" s="1">
        <v>46199.041478807871</v>
      </c>
      <c r="B32" s="2">
        <v>46199</v>
      </c>
      <c r="C32" s="1">
        <v>46198.833145474535</v>
      </c>
      <c r="D32" s="2">
        <v>46198</v>
      </c>
      <c r="E32" s="1">
        <v>46198.811697581019</v>
      </c>
      <c r="F32" s="1">
        <v>46198.833130254628</v>
      </c>
      <c r="G32" s="1">
        <v>46205.43844150463</v>
      </c>
      <c r="H32" s="2">
        <v>46205</v>
      </c>
      <c r="I32">
        <v>11717</v>
      </c>
      <c r="J32" t="s">
        <v>44</v>
      </c>
      <c r="K32">
        <v>241736</v>
      </c>
      <c r="L32" t="s">
        <v>45</v>
      </c>
      <c r="M32" t="s">
        <v>46</v>
      </c>
      <c r="N32" t="s">
        <v>47</v>
      </c>
      <c r="O32" t="s">
        <v>172</v>
      </c>
      <c r="P32">
        <v>17596928601</v>
      </c>
      <c r="Q32" t="s">
        <v>173</v>
      </c>
      <c r="R32" t="s">
        <v>174</v>
      </c>
      <c r="S32" t="s">
        <v>175</v>
      </c>
      <c r="T32" t="s">
        <v>48</v>
      </c>
      <c r="U32" t="s">
        <v>46</v>
      </c>
      <c r="V32" t="s">
        <v>49</v>
      </c>
      <c r="W32" t="s">
        <v>50</v>
      </c>
      <c r="X32">
        <v>18.079999999999998</v>
      </c>
      <c r="Y32">
        <v>1.45</v>
      </c>
      <c r="Z32">
        <v>0</v>
      </c>
      <c r="AA32">
        <v>-2.71</v>
      </c>
      <c r="AB32">
        <v>-7.0000000000000007E-2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16.75</v>
      </c>
      <c r="AM32">
        <v>0</v>
      </c>
      <c r="AN32">
        <v>0</v>
      </c>
      <c r="AO32">
        <v>18.079999999999998</v>
      </c>
      <c r="AP32">
        <v>0</v>
      </c>
      <c r="AQ32">
        <v>0</v>
      </c>
      <c r="AR32">
        <v>591107629</v>
      </c>
    </row>
    <row r="33" spans="1:44" x14ac:dyDescent="0.25">
      <c r="A33" s="1">
        <v>46199.004519652779</v>
      </c>
      <c r="B33" s="2">
        <v>46199</v>
      </c>
      <c r="C33" s="1">
        <v>46198.796186319443</v>
      </c>
      <c r="D33" s="2">
        <v>46198</v>
      </c>
      <c r="E33" s="1">
        <v>46198.786452893517</v>
      </c>
      <c r="F33" s="1">
        <v>46198.796172222224</v>
      </c>
      <c r="G33" s="1">
        <v>46205.43844150463</v>
      </c>
      <c r="H33" s="2">
        <v>46205</v>
      </c>
      <c r="I33">
        <v>11717</v>
      </c>
      <c r="J33" t="s">
        <v>44</v>
      </c>
      <c r="K33">
        <v>241736</v>
      </c>
      <c r="L33" t="s">
        <v>45</v>
      </c>
      <c r="M33" t="s">
        <v>46</v>
      </c>
      <c r="N33" t="s">
        <v>47</v>
      </c>
      <c r="O33" t="s">
        <v>176</v>
      </c>
      <c r="P33">
        <v>17596101529</v>
      </c>
      <c r="Q33" t="s">
        <v>177</v>
      </c>
      <c r="R33" t="s">
        <v>178</v>
      </c>
      <c r="S33" t="s">
        <v>179</v>
      </c>
      <c r="T33" t="s">
        <v>48</v>
      </c>
      <c r="U33" t="s">
        <v>46</v>
      </c>
      <c r="V33" t="s">
        <v>49</v>
      </c>
      <c r="W33" t="s">
        <v>50</v>
      </c>
      <c r="X33">
        <v>21.24</v>
      </c>
      <c r="Y33">
        <v>1.7</v>
      </c>
      <c r="Z33">
        <v>0</v>
      </c>
      <c r="AA33">
        <v>-3.19</v>
      </c>
      <c r="AB33">
        <v>-0.08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19.670000000000002</v>
      </c>
      <c r="AM33">
        <v>0</v>
      </c>
      <c r="AN33">
        <v>0</v>
      </c>
      <c r="AO33">
        <v>21.24</v>
      </c>
      <c r="AP33">
        <v>0</v>
      </c>
      <c r="AQ33">
        <v>0</v>
      </c>
      <c r="AR33">
        <v>591107629</v>
      </c>
    </row>
    <row r="34" spans="1:44" x14ac:dyDescent="0.25">
      <c r="A34" s="1">
        <v>46198.960986238424</v>
      </c>
      <c r="B34" s="2">
        <v>46198</v>
      </c>
      <c r="C34" s="1">
        <v>46198.752652905096</v>
      </c>
      <c r="D34" s="2">
        <v>46198</v>
      </c>
      <c r="E34" s="1">
        <v>46198.745597939815</v>
      </c>
      <c r="F34" s="1">
        <v>46198.752636006946</v>
      </c>
      <c r="G34" s="1">
        <v>46205.43844150463</v>
      </c>
      <c r="H34" s="2">
        <v>46205</v>
      </c>
      <c r="I34">
        <v>11717</v>
      </c>
      <c r="J34" t="s">
        <v>44</v>
      </c>
      <c r="K34">
        <v>241736</v>
      </c>
      <c r="L34" t="s">
        <v>45</v>
      </c>
      <c r="M34" t="s">
        <v>46</v>
      </c>
      <c r="N34" t="s">
        <v>47</v>
      </c>
      <c r="O34" t="s">
        <v>180</v>
      </c>
      <c r="P34">
        <v>17595134161</v>
      </c>
      <c r="Q34" t="s">
        <v>181</v>
      </c>
      <c r="R34" t="s">
        <v>182</v>
      </c>
      <c r="S34" t="s">
        <v>183</v>
      </c>
      <c r="T34" t="s">
        <v>48</v>
      </c>
      <c r="U34" t="s">
        <v>46</v>
      </c>
      <c r="V34" t="s">
        <v>49</v>
      </c>
      <c r="W34" t="s">
        <v>50</v>
      </c>
      <c r="X34">
        <v>27.98</v>
      </c>
      <c r="Y34">
        <v>2.2400000000000002</v>
      </c>
      <c r="Z34">
        <v>0</v>
      </c>
      <c r="AA34">
        <v>-4.2</v>
      </c>
      <c r="AB34">
        <v>-0.11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25.91</v>
      </c>
      <c r="AM34">
        <v>0</v>
      </c>
      <c r="AN34">
        <v>0</v>
      </c>
      <c r="AO34">
        <v>27.98</v>
      </c>
      <c r="AP34">
        <v>0</v>
      </c>
      <c r="AQ34">
        <v>0</v>
      </c>
      <c r="AR34">
        <v>591107629</v>
      </c>
    </row>
    <row r="35" spans="1:44" x14ac:dyDescent="0.25">
      <c r="A35" s="1">
        <v>46198.952384537035</v>
      </c>
      <c r="B35" s="2">
        <v>46198</v>
      </c>
      <c r="C35" s="1">
        <v>46198.744051203706</v>
      </c>
      <c r="D35" s="2">
        <v>46198</v>
      </c>
      <c r="E35" s="1">
        <v>46198.677542500001</v>
      </c>
      <c r="F35" s="1">
        <v>46198.744034513889</v>
      </c>
      <c r="G35" s="1">
        <v>46205.43844150463</v>
      </c>
      <c r="H35" s="2">
        <v>46205</v>
      </c>
      <c r="I35">
        <v>11717</v>
      </c>
      <c r="J35" t="s">
        <v>44</v>
      </c>
      <c r="K35">
        <v>241736</v>
      </c>
      <c r="L35" t="s">
        <v>45</v>
      </c>
      <c r="M35" t="s">
        <v>46</v>
      </c>
      <c r="N35" t="s">
        <v>47</v>
      </c>
      <c r="O35" t="s">
        <v>184</v>
      </c>
      <c r="P35">
        <v>17594950751</v>
      </c>
      <c r="Q35" t="s">
        <v>185</v>
      </c>
      <c r="R35" t="s">
        <v>186</v>
      </c>
      <c r="S35" t="s">
        <v>187</v>
      </c>
      <c r="T35" t="s">
        <v>48</v>
      </c>
      <c r="U35" t="s">
        <v>46</v>
      </c>
      <c r="V35" t="s">
        <v>51</v>
      </c>
      <c r="W35" t="s">
        <v>50</v>
      </c>
      <c r="X35">
        <v>12.68</v>
      </c>
      <c r="Y35">
        <v>1.01</v>
      </c>
      <c r="Z35">
        <v>0</v>
      </c>
      <c r="AA35">
        <v>-0.76</v>
      </c>
      <c r="AB35">
        <v>-0.05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12.88</v>
      </c>
      <c r="AM35">
        <v>0</v>
      </c>
      <c r="AN35">
        <v>0</v>
      </c>
      <c r="AO35">
        <v>12.68</v>
      </c>
      <c r="AP35">
        <v>0</v>
      </c>
      <c r="AQ35">
        <v>0</v>
      </c>
      <c r="AR35">
        <v>591107629</v>
      </c>
    </row>
    <row r="36" spans="1:44" x14ac:dyDescent="0.25">
      <c r="A36" s="1">
        <v>46198.886686597223</v>
      </c>
      <c r="B36" s="2">
        <v>46198</v>
      </c>
      <c r="C36" s="1">
        <v>46198.678353263887</v>
      </c>
      <c r="D36" s="2">
        <v>46198</v>
      </c>
      <c r="E36" s="1">
        <v>46198.671824097219</v>
      </c>
      <c r="F36" s="1">
        <v>46198.678338900463</v>
      </c>
      <c r="G36" s="1">
        <v>46205.43844150463</v>
      </c>
      <c r="H36" s="2">
        <v>46205</v>
      </c>
      <c r="I36">
        <v>11717</v>
      </c>
      <c r="J36" t="s">
        <v>44</v>
      </c>
      <c r="K36">
        <v>241736</v>
      </c>
      <c r="L36" t="s">
        <v>45</v>
      </c>
      <c r="M36" t="s">
        <v>46</v>
      </c>
      <c r="N36" t="s">
        <v>47</v>
      </c>
      <c r="O36" t="s">
        <v>188</v>
      </c>
      <c r="P36">
        <v>17593753476</v>
      </c>
      <c r="Q36" t="s">
        <v>189</v>
      </c>
      <c r="R36" t="s">
        <v>190</v>
      </c>
      <c r="S36" t="s">
        <v>191</v>
      </c>
      <c r="T36" t="s">
        <v>48</v>
      </c>
      <c r="U36" t="s">
        <v>46</v>
      </c>
      <c r="V36" t="s">
        <v>49</v>
      </c>
      <c r="W36" t="s">
        <v>50</v>
      </c>
      <c r="X36">
        <v>18.079999999999998</v>
      </c>
      <c r="Y36">
        <v>0.81</v>
      </c>
      <c r="Z36">
        <v>0</v>
      </c>
      <c r="AA36">
        <v>-1.51</v>
      </c>
      <c r="AB36">
        <v>-0.04</v>
      </c>
      <c r="AC36">
        <v>0</v>
      </c>
      <c r="AD36">
        <v>0</v>
      </c>
      <c r="AE36">
        <v>-8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9.34</v>
      </c>
      <c r="AM36">
        <v>0</v>
      </c>
      <c r="AN36">
        <v>0</v>
      </c>
      <c r="AO36">
        <v>10.08</v>
      </c>
      <c r="AP36">
        <v>0</v>
      </c>
      <c r="AQ36">
        <v>0</v>
      </c>
      <c r="AR36">
        <v>591107629</v>
      </c>
    </row>
    <row r="37" spans="1:44" x14ac:dyDescent="0.25">
      <c r="A37" s="1">
        <v>46198.799321782404</v>
      </c>
      <c r="B37" s="2">
        <v>46198</v>
      </c>
      <c r="C37" s="1">
        <v>46198.590988449076</v>
      </c>
      <c r="D37" s="2">
        <v>46198</v>
      </c>
      <c r="E37" s="1">
        <v>46198.583368333333</v>
      </c>
      <c r="F37" s="1">
        <v>46198.590976192128</v>
      </c>
      <c r="G37" s="1">
        <v>46205.43844150463</v>
      </c>
      <c r="H37" s="2">
        <v>46205</v>
      </c>
      <c r="I37">
        <v>11717</v>
      </c>
      <c r="J37" t="s">
        <v>44</v>
      </c>
      <c r="K37">
        <v>241736</v>
      </c>
      <c r="L37" t="s">
        <v>45</v>
      </c>
      <c r="M37" t="s">
        <v>46</v>
      </c>
      <c r="N37" t="s">
        <v>47</v>
      </c>
      <c r="O37" t="s">
        <v>192</v>
      </c>
      <c r="P37">
        <v>17592404422</v>
      </c>
      <c r="Q37" t="s">
        <v>193</v>
      </c>
      <c r="R37" t="s">
        <v>194</v>
      </c>
      <c r="S37" t="s">
        <v>195</v>
      </c>
      <c r="T37" t="s">
        <v>48</v>
      </c>
      <c r="U37" t="s">
        <v>46</v>
      </c>
      <c r="V37" t="s">
        <v>49</v>
      </c>
      <c r="W37" t="s">
        <v>50</v>
      </c>
      <c r="X37">
        <v>49.76</v>
      </c>
      <c r="Y37">
        <v>3.34</v>
      </c>
      <c r="Z37">
        <v>0</v>
      </c>
      <c r="AA37">
        <v>-6.26</v>
      </c>
      <c r="AB37">
        <v>-0.17</v>
      </c>
      <c r="AC37">
        <v>0</v>
      </c>
      <c r="AD37">
        <v>0</v>
      </c>
      <c r="AE37">
        <v>-8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38.67</v>
      </c>
      <c r="AM37">
        <v>0</v>
      </c>
      <c r="AN37">
        <v>0</v>
      </c>
      <c r="AO37">
        <v>41.76</v>
      </c>
      <c r="AP37">
        <v>0</v>
      </c>
      <c r="AQ37">
        <v>0</v>
      </c>
      <c r="AR37">
        <v>591107629</v>
      </c>
    </row>
    <row r="38" spans="1:44" x14ac:dyDescent="0.25">
      <c r="A38" s="1">
        <v>46197.976855868059</v>
      </c>
      <c r="B38" s="2">
        <v>46197</v>
      </c>
      <c r="C38" s="1">
        <v>46197.768522534723</v>
      </c>
      <c r="D38" s="2">
        <v>46197</v>
      </c>
      <c r="E38" s="1">
        <v>46197.759362442128</v>
      </c>
      <c r="F38" s="1">
        <v>46197.768510000002</v>
      </c>
      <c r="G38" s="1">
        <v>46205.43844150463</v>
      </c>
      <c r="H38" s="2">
        <v>46205</v>
      </c>
      <c r="I38">
        <v>11717</v>
      </c>
      <c r="J38" t="s">
        <v>44</v>
      </c>
      <c r="K38">
        <v>241736</v>
      </c>
      <c r="L38" t="s">
        <v>45</v>
      </c>
      <c r="M38" t="s">
        <v>46</v>
      </c>
      <c r="N38" t="s">
        <v>47</v>
      </c>
      <c r="O38" t="s">
        <v>196</v>
      </c>
      <c r="P38">
        <v>17584207159</v>
      </c>
      <c r="Q38" t="s">
        <v>197</v>
      </c>
      <c r="R38" t="s">
        <v>198</v>
      </c>
      <c r="S38" t="s">
        <v>199</v>
      </c>
      <c r="T38" t="s">
        <v>48</v>
      </c>
      <c r="U38" t="s">
        <v>46</v>
      </c>
      <c r="V38" t="s">
        <v>49</v>
      </c>
      <c r="W38" t="s">
        <v>50</v>
      </c>
      <c r="X38">
        <v>45.72</v>
      </c>
      <c r="Y38">
        <v>3.66</v>
      </c>
      <c r="Z38">
        <v>0</v>
      </c>
      <c r="AA38">
        <v>-6.86</v>
      </c>
      <c r="AB38">
        <v>-0.18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42.34</v>
      </c>
      <c r="AM38">
        <v>0</v>
      </c>
      <c r="AN38">
        <v>0</v>
      </c>
      <c r="AO38">
        <v>45.72</v>
      </c>
      <c r="AP38">
        <v>0</v>
      </c>
      <c r="AQ38">
        <v>0</v>
      </c>
      <c r="AR38">
        <v>591107629</v>
      </c>
    </row>
    <row r="39" spans="1:44" x14ac:dyDescent="0.25">
      <c r="A39" s="1">
        <v>46197.973383819444</v>
      </c>
      <c r="B39" s="2">
        <v>46197</v>
      </c>
      <c r="C39" s="1">
        <v>46197.765050486109</v>
      </c>
      <c r="D39" s="2">
        <v>46197</v>
      </c>
      <c r="E39" s="1">
        <v>46197.750049074071</v>
      </c>
      <c r="F39" s="1">
        <v>46197.765036990742</v>
      </c>
      <c r="G39" s="1">
        <v>46205.43844150463</v>
      </c>
      <c r="H39" s="2">
        <v>46205</v>
      </c>
      <c r="I39">
        <v>11717</v>
      </c>
      <c r="J39" t="s">
        <v>44</v>
      </c>
      <c r="K39">
        <v>241736</v>
      </c>
      <c r="L39" t="s">
        <v>45</v>
      </c>
      <c r="M39" t="s">
        <v>46</v>
      </c>
      <c r="N39" t="s">
        <v>47</v>
      </c>
      <c r="O39" t="s">
        <v>200</v>
      </c>
      <c r="P39">
        <v>17584136498</v>
      </c>
      <c r="Q39" t="s">
        <v>201</v>
      </c>
      <c r="R39" t="s">
        <v>202</v>
      </c>
      <c r="S39" t="s">
        <v>203</v>
      </c>
      <c r="T39" t="s">
        <v>48</v>
      </c>
      <c r="U39" t="s">
        <v>46</v>
      </c>
      <c r="V39" t="s">
        <v>49</v>
      </c>
      <c r="W39" t="s">
        <v>50</v>
      </c>
      <c r="X39">
        <v>106.42</v>
      </c>
      <c r="Y39">
        <v>7.87</v>
      </c>
      <c r="Z39">
        <v>0</v>
      </c>
      <c r="AA39">
        <v>-14.76</v>
      </c>
      <c r="AB39">
        <v>-0.39</v>
      </c>
      <c r="AC39">
        <v>0</v>
      </c>
      <c r="AD39">
        <v>0</v>
      </c>
      <c r="AE39">
        <v>-8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91.14</v>
      </c>
      <c r="AM39">
        <v>0</v>
      </c>
      <c r="AN39">
        <v>0</v>
      </c>
      <c r="AO39">
        <v>98.42</v>
      </c>
      <c r="AP39">
        <v>0</v>
      </c>
      <c r="AQ39">
        <v>0</v>
      </c>
      <c r="AR39">
        <v>591107629</v>
      </c>
    </row>
    <row r="40" spans="1:44" x14ac:dyDescent="0.25">
      <c r="A40" s="1">
        <v>46197.903255543984</v>
      </c>
      <c r="B40" s="2">
        <v>46197</v>
      </c>
      <c r="C40" s="1">
        <v>46197.694922210649</v>
      </c>
      <c r="D40" s="2">
        <v>46197</v>
      </c>
      <c r="E40" s="1">
        <v>46197.688757303244</v>
      </c>
      <c r="F40" s="1">
        <v>46197.694910208331</v>
      </c>
      <c r="G40" s="1">
        <v>46205.43844150463</v>
      </c>
      <c r="H40" s="2">
        <v>46205</v>
      </c>
      <c r="I40">
        <v>11717</v>
      </c>
      <c r="J40" t="s">
        <v>44</v>
      </c>
      <c r="K40">
        <v>241736</v>
      </c>
      <c r="L40" t="s">
        <v>45</v>
      </c>
      <c r="M40" t="s">
        <v>46</v>
      </c>
      <c r="N40" t="s">
        <v>47</v>
      </c>
      <c r="O40" t="s">
        <v>204</v>
      </c>
      <c r="P40">
        <v>17582811660</v>
      </c>
      <c r="Q40" t="s">
        <v>205</v>
      </c>
      <c r="R40" t="s">
        <v>206</v>
      </c>
      <c r="S40" t="s">
        <v>207</v>
      </c>
      <c r="T40" t="s">
        <v>48</v>
      </c>
      <c r="U40" t="s">
        <v>46</v>
      </c>
      <c r="V40" t="s">
        <v>49</v>
      </c>
      <c r="W40" t="s">
        <v>50</v>
      </c>
      <c r="X40">
        <v>27.74</v>
      </c>
      <c r="Y40">
        <v>2.2200000000000002</v>
      </c>
      <c r="Z40">
        <v>0</v>
      </c>
      <c r="AA40">
        <v>-4.16</v>
      </c>
      <c r="AB40">
        <v>-0.11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25.69</v>
      </c>
      <c r="AM40">
        <v>0</v>
      </c>
      <c r="AN40">
        <v>0</v>
      </c>
      <c r="AO40">
        <v>27.74</v>
      </c>
      <c r="AP40">
        <v>0</v>
      </c>
      <c r="AQ40">
        <v>0</v>
      </c>
      <c r="AR40">
        <v>591107629</v>
      </c>
    </row>
    <row r="41" spans="1:44" x14ac:dyDescent="0.25">
      <c r="A41" s="1">
        <v>46197.709009629631</v>
      </c>
      <c r="B41" s="2">
        <v>46197</v>
      </c>
      <c r="C41" s="1">
        <v>46197.500676296295</v>
      </c>
      <c r="D41" s="2">
        <v>46197</v>
      </c>
      <c r="E41" s="1">
        <v>46197.493122222222</v>
      </c>
      <c r="F41" s="1">
        <v>46197.500663831015</v>
      </c>
      <c r="G41" s="1">
        <v>46205.43844150463</v>
      </c>
      <c r="H41" s="2">
        <v>46205</v>
      </c>
      <c r="I41">
        <v>11717</v>
      </c>
      <c r="J41" t="s">
        <v>44</v>
      </c>
      <c r="K41">
        <v>241736</v>
      </c>
      <c r="L41" t="s">
        <v>45</v>
      </c>
      <c r="M41" t="s">
        <v>46</v>
      </c>
      <c r="N41" t="s">
        <v>47</v>
      </c>
      <c r="O41" t="s">
        <v>208</v>
      </c>
      <c r="P41">
        <v>17579883853</v>
      </c>
      <c r="Q41" t="s">
        <v>209</v>
      </c>
      <c r="R41" t="s">
        <v>210</v>
      </c>
      <c r="S41" t="s">
        <v>211</v>
      </c>
      <c r="T41" t="s">
        <v>48</v>
      </c>
      <c r="U41" t="s">
        <v>46</v>
      </c>
      <c r="V41" t="s">
        <v>49</v>
      </c>
      <c r="W41" t="s">
        <v>50</v>
      </c>
      <c r="X41">
        <v>34.18</v>
      </c>
      <c r="Y41">
        <v>2.73</v>
      </c>
      <c r="Z41">
        <v>0</v>
      </c>
      <c r="AA41">
        <v>-5.13</v>
      </c>
      <c r="AB41">
        <v>-0.14000000000000001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31.64</v>
      </c>
      <c r="AM41">
        <v>0</v>
      </c>
      <c r="AN41">
        <v>0</v>
      </c>
      <c r="AO41">
        <v>34.18</v>
      </c>
      <c r="AP41">
        <v>0</v>
      </c>
      <c r="AQ41">
        <v>0</v>
      </c>
      <c r="AR41">
        <v>591107629</v>
      </c>
    </row>
    <row r="42" spans="1:44" x14ac:dyDescent="0.25">
      <c r="A42" s="1">
        <v>46196.995176296296</v>
      </c>
      <c r="B42" s="2">
        <v>46196</v>
      </c>
      <c r="C42" s="1">
        <v>46196.78684296296</v>
      </c>
      <c r="D42" s="2">
        <v>46196</v>
      </c>
      <c r="E42" s="1">
        <v>46196.779347222226</v>
      </c>
      <c r="F42" s="1">
        <v>46196.786830196761</v>
      </c>
      <c r="G42" s="1">
        <v>46205.43844150463</v>
      </c>
      <c r="H42" s="2">
        <v>46205</v>
      </c>
      <c r="I42">
        <v>11717</v>
      </c>
      <c r="J42" t="s">
        <v>44</v>
      </c>
      <c r="K42">
        <v>241736</v>
      </c>
      <c r="L42" t="s">
        <v>45</v>
      </c>
      <c r="M42" t="s">
        <v>46</v>
      </c>
      <c r="N42" t="s">
        <v>47</v>
      </c>
      <c r="O42" t="s">
        <v>212</v>
      </c>
      <c r="P42">
        <v>17573849238</v>
      </c>
      <c r="Q42" t="s">
        <v>213</v>
      </c>
      <c r="R42" t="s">
        <v>214</v>
      </c>
      <c r="S42" t="s">
        <v>215</v>
      </c>
      <c r="T42" t="s">
        <v>48</v>
      </c>
      <c r="U42" t="s">
        <v>46</v>
      </c>
      <c r="V42" t="s">
        <v>49</v>
      </c>
      <c r="W42" t="s">
        <v>50</v>
      </c>
      <c r="X42">
        <v>29.17</v>
      </c>
      <c r="Y42">
        <v>2.33</v>
      </c>
      <c r="Z42">
        <v>0</v>
      </c>
      <c r="AA42">
        <v>-4.38</v>
      </c>
      <c r="AB42">
        <v>-0.12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27</v>
      </c>
      <c r="AM42">
        <v>0</v>
      </c>
      <c r="AN42">
        <v>0</v>
      </c>
      <c r="AO42">
        <v>29.17</v>
      </c>
      <c r="AP42">
        <v>0</v>
      </c>
      <c r="AQ42">
        <v>0</v>
      </c>
      <c r="AR42">
        <v>591107629</v>
      </c>
    </row>
    <row r="43" spans="1:44" x14ac:dyDescent="0.25">
      <c r="A43" s="1">
        <v>46196.926263680558</v>
      </c>
      <c r="B43" s="2">
        <v>46196</v>
      </c>
      <c r="C43" s="1">
        <v>46196.717930347222</v>
      </c>
      <c r="D43" s="2">
        <v>46196</v>
      </c>
      <c r="E43" s="1">
        <v>46196.711728599534</v>
      </c>
      <c r="F43" s="1">
        <v>46196.717913622684</v>
      </c>
      <c r="G43" s="1">
        <v>46205.43844150463</v>
      </c>
      <c r="H43" s="2">
        <v>46205</v>
      </c>
      <c r="I43">
        <v>11717</v>
      </c>
      <c r="J43" t="s">
        <v>44</v>
      </c>
      <c r="K43">
        <v>241736</v>
      </c>
      <c r="L43" t="s">
        <v>45</v>
      </c>
      <c r="M43" t="s">
        <v>46</v>
      </c>
      <c r="N43" t="s">
        <v>47</v>
      </c>
      <c r="O43" t="s">
        <v>216</v>
      </c>
      <c r="P43">
        <v>17572498402</v>
      </c>
      <c r="Q43" t="s">
        <v>217</v>
      </c>
      <c r="R43" t="s">
        <v>218</v>
      </c>
      <c r="S43" t="s">
        <v>219</v>
      </c>
      <c r="T43" t="s">
        <v>48</v>
      </c>
      <c r="U43" t="s">
        <v>46</v>
      </c>
      <c r="V43" t="s">
        <v>49</v>
      </c>
      <c r="W43" t="s">
        <v>50</v>
      </c>
      <c r="X43">
        <v>17.989999999999998</v>
      </c>
      <c r="Y43">
        <v>1.44</v>
      </c>
      <c r="Z43">
        <v>0</v>
      </c>
      <c r="AA43">
        <v>-2.7</v>
      </c>
      <c r="AB43">
        <v>-7.0000000000000007E-2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16.66</v>
      </c>
      <c r="AM43">
        <v>0</v>
      </c>
      <c r="AN43">
        <v>0</v>
      </c>
      <c r="AO43">
        <v>17.989999999999998</v>
      </c>
      <c r="AP43">
        <v>0</v>
      </c>
      <c r="AQ43">
        <v>0</v>
      </c>
      <c r="AR43">
        <v>591107629</v>
      </c>
    </row>
    <row r="44" spans="1:44" x14ac:dyDescent="0.25">
      <c r="A44" s="1">
        <v>46195.953416851851</v>
      </c>
      <c r="B44" s="2">
        <v>46195</v>
      </c>
      <c r="C44" s="1">
        <v>46195.745083518515</v>
      </c>
      <c r="D44" s="2">
        <v>46195</v>
      </c>
      <c r="E44" s="1">
        <v>46195.732713877318</v>
      </c>
      <c r="F44" s="1">
        <v>46195.745069999997</v>
      </c>
      <c r="G44" s="1">
        <v>46205.43844150463</v>
      </c>
      <c r="H44" s="2">
        <v>46205</v>
      </c>
      <c r="I44">
        <v>11717</v>
      </c>
      <c r="J44" t="s">
        <v>44</v>
      </c>
      <c r="K44">
        <v>241736</v>
      </c>
      <c r="L44" t="s">
        <v>45</v>
      </c>
      <c r="M44" t="s">
        <v>46</v>
      </c>
      <c r="N44" t="s">
        <v>47</v>
      </c>
      <c r="O44" t="s">
        <v>220</v>
      </c>
      <c r="P44">
        <v>17562547181</v>
      </c>
      <c r="Q44" t="s">
        <v>221</v>
      </c>
      <c r="R44" t="s">
        <v>222</v>
      </c>
      <c r="S44" t="s">
        <v>223</v>
      </c>
      <c r="T44" t="s">
        <v>48</v>
      </c>
      <c r="U44" t="s">
        <v>46</v>
      </c>
      <c r="V44" t="s">
        <v>49</v>
      </c>
      <c r="W44" t="s">
        <v>50</v>
      </c>
      <c r="X44">
        <v>29.67</v>
      </c>
      <c r="Y44">
        <v>2.37</v>
      </c>
      <c r="Z44">
        <v>0</v>
      </c>
      <c r="AA44">
        <v>-4.45</v>
      </c>
      <c r="AB44">
        <v>-0.12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27.47</v>
      </c>
      <c r="AM44">
        <v>0</v>
      </c>
      <c r="AN44">
        <v>0</v>
      </c>
      <c r="AO44">
        <v>29.67</v>
      </c>
      <c r="AP44">
        <v>0</v>
      </c>
      <c r="AQ44">
        <v>0</v>
      </c>
      <c r="AR44">
        <v>591107629</v>
      </c>
    </row>
    <row r="45" spans="1:44" x14ac:dyDescent="0.25">
      <c r="A45" s="1">
        <v>46195.878739594904</v>
      </c>
      <c r="B45" s="2">
        <v>46195</v>
      </c>
      <c r="C45" s="1">
        <v>46195.670406261575</v>
      </c>
      <c r="D45" s="2">
        <v>46195</v>
      </c>
      <c r="E45" s="1">
        <v>46195.655937465279</v>
      </c>
      <c r="F45" s="1">
        <v>46195.670393657405</v>
      </c>
      <c r="G45" s="1">
        <v>46205.43844150463</v>
      </c>
      <c r="H45" s="2">
        <v>46205</v>
      </c>
      <c r="I45">
        <v>11717</v>
      </c>
      <c r="J45" t="s">
        <v>44</v>
      </c>
      <c r="K45">
        <v>241736</v>
      </c>
      <c r="L45" t="s">
        <v>45</v>
      </c>
      <c r="M45" t="s">
        <v>46</v>
      </c>
      <c r="N45" t="s">
        <v>47</v>
      </c>
      <c r="O45" t="s">
        <v>224</v>
      </c>
      <c r="P45">
        <v>17561323340</v>
      </c>
      <c r="Q45" t="s">
        <v>225</v>
      </c>
      <c r="R45" t="s">
        <v>226</v>
      </c>
      <c r="S45" t="s">
        <v>227</v>
      </c>
      <c r="T45" t="s">
        <v>48</v>
      </c>
      <c r="U45" t="s">
        <v>46</v>
      </c>
      <c r="V45" t="s">
        <v>49</v>
      </c>
      <c r="W45" t="s">
        <v>50</v>
      </c>
      <c r="X45">
        <v>33.08</v>
      </c>
      <c r="Y45">
        <v>2.65</v>
      </c>
      <c r="Z45">
        <v>0</v>
      </c>
      <c r="AA45">
        <v>-4.96</v>
      </c>
      <c r="AB45">
        <v>-0.13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30.64</v>
      </c>
      <c r="AM45">
        <v>0</v>
      </c>
      <c r="AN45">
        <v>0</v>
      </c>
      <c r="AO45">
        <v>33.08</v>
      </c>
      <c r="AP45">
        <v>0</v>
      </c>
      <c r="AQ45">
        <v>0</v>
      </c>
      <c r="AR45">
        <v>591107629</v>
      </c>
    </row>
    <row r="46" spans="1:44" x14ac:dyDescent="0.25">
      <c r="A46" s="1">
        <v>46195.820459259259</v>
      </c>
      <c r="B46" s="2">
        <v>46195</v>
      </c>
      <c r="C46" s="1">
        <v>46195.612125925923</v>
      </c>
      <c r="D46" s="2">
        <v>46195</v>
      </c>
      <c r="E46" s="1">
        <v>46195.523112141207</v>
      </c>
      <c r="F46" s="1">
        <v>46195.612116006945</v>
      </c>
      <c r="G46" s="1">
        <v>46205.43844150463</v>
      </c>
      <c r="H46" s="2">
        <v>46205</v>
      </c>
      <c r="I46">
        <v>11717</v>
      </c>
      <c r="J46" t="s">
        <v>44</v>
      </c>
      <c r="K46">
        <v>241736</v>
      </c>
      <c r="L46" t="s">
        <v>45</v>
      </c>
      <c r="M46" t="s">
        <v>46</v>
      </c>
      <c r="N46" t="s">
        <v>47</v>
      </c>
      <c r="O46" t="s">
        <v>228</v>
      </c>
      <c r="P46">
        <v>17560513871</v>
      </c>
      <c r="Q46" t="s">
        <v>229</v>
      </c>
      <c r="R46" t="s">
        <v>230</v>
      </c>
      <c r="S46" t="s">
        <v>231</v>
      </c>
      <c r="T46" t="s">
        <v>48</v>
      </c>
      <c r="U46" t="s">
        <v>46</v>
      </c>
      <c r="V46" t="s">
        <v>51</v>
      </c>
      <c r="W46" t="s">
        <v>50</v>
      </c>
      <c r="X46">
        <v>233.01</v>
      </c>
      <c r="Y46">
        <v>18.64</v>
      </c>
      <c r="Z46">
        <v>0</v>
      </c>
      <c r="AA46">
        <v>-13.98</v>
      </c>
      <c r="AB46">
        <v>-0.92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236.75</v>
      </c>
      <c r="AM46">
        <v>0</v>
      </c>
      <c r="AN46">
        <v>0</v>
      </c>
      <c r="AO46">
        <v>233.01</v>
      </c>
      <c r="AP46">
        <v>0</v>
      </c>
      <c r="AQ46">
        <v>0</v>
      </c>
      <c r="AR46">
        <v>591107629</v>
      </c>
    </row>
    <row r="47" spans="1:44" x14ac:dyDescent="0.25">
      <c r="A47" s="1">
        <v>46195.79813625</v>
      </c>
      <c r="B47" s="2">
        <v>46195</v>
      </c>
      <c r="C47" s="1">
        <v>46195.589802916664</v>
      </c>
      <c r="D47" s="2">
        <v>46195</v>
      </c>
      <c r="E47" s="1">
        <v>46195.525302766204</v>
      </c>
      <c r="F47" s="1">
        <v>46195.589793333333</v>
      </c>
      <c r="G47" s="1">
        <v>46205.43844150463</v>
      </c>
      <c r="H47" s="2">
        <v>46205</v>
      </c>
      <c r="I47">
        <v>11717</v>
      </c>
      <c r="J47" t="s">
        <v>44</v>
      </c>
      <c r="K47">
        <v>241736</v>
      </c>
      <c r="L47" t="s">
        <v>45</v>
      </c>
      <c r="M47" t="s">
        <v>46</v>
      </c>
      <c r="N47" t="s">
        <v>47</v>
      </c>
      <c r="O47" t="s">
        <v>232</v>
      </c>
      <c r="P47">
        <v>17560201493</v>
      </c>
      <c r="Q47" t="s">
        <v>233</v>
      </c>
      <c r="R47" t="s">
        <v>234</v>
      </c>
      <c r="S47" t="s">
        <v>235</v>
      </c>
      <c r="T47" t="s">
        <v>48</v>
      </c>
      <c r="U47" t="s">
        <v>46</v>
      </c>
      <c r="V47" t="s">
        <v>51</v>
      </c>
      <c r="W47" t="s">
        <v>50</v>
      </c>
      <c r="X47">
        <v>8.75</v>
      </c>
      <c r="Y47">
        <v>0.7</v>
      </c>
      <c r="Z47">
        <v>0</v>
      </c>
      <c r="AA47">
        <v>-0.53</v>
      </c>
      <c r="AB47">
        <v>-0.03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8.89</v>
      </c>
      <c r="AM47">
        <v>0</v>
      </c>
      <c r="AN47">
        <v>0</v>
      </c>
      <c r="AO47">
        <v>8.75</v>
      </c>
      <c r="AP47">
        <v>0</v>
      </c>
      <c r="AQ47">
        <v>0</v>
      </c>
      <c r="AR47">
        <v>591107629</v>
      </c>
    </row>
    <row r="48" spans="1:44" x14ac:dyDescent="0.25">
      <c r="A48" s="1">
        <v>46195.684054097219</v>
      </c>
      <c r="B48" s="2">
        <v>46195</v>
      </c>
      <c r="C48" s="1">
        <v>46195.47572076389</v>
      </c>
      <c r="D48" s="2">
        <v>46195</v>
      </c>
      <c r="E48" s="1">
        <v>46195.465458506944</v>
      </c>
      <c r="F48" s="1">
        <v>46195.475708645834</v>
      </c>
      <c r="G48" s="1">
        <v>46205.43844150463</v>
      </c>
      <c r="H48" s="2">
        <v>46205</v>
      </c>
      <c r="I48">
        <v>11717</v>
      </c>
      <c r="J48" t="s">
        <v>44</v>
      </c>
      <c r="K48">
        <v>241736</v>
      </c>
      <c r="L48" t="s">
        <v>45</v>
      </c>
      <c r="M48" t="s">
        <v>46</v>
      </c>
      <c r="N48" t="s">
        <v>47</v>
      </c>
      <c r="O48" t="s">
        <v>236</v>
      </c>
      <c r="P48">
        <v>17558536586</v>
      </c>
      <c r="Q48" t="s">
        <v>237</v>
      </c>
      <c r="R48" t="s">
        <v>238</v>
      </c>
      <c r="S48" t="s">
        <v>239</v>
      </c>
      <c r="T48" t="s">
        <v>48</v>
      </c>
      <c r="U48" t="s">
        <v>46</v>
      </c>
      <c r="V48" t="s">
        <v>49</v>
      </c>
      <c r="W48" t="s">
        <v>50</v>
      </c>
      <c r="X48">
        <v>11.74</v>
      </c>
      <c r="Y48">
        <v>0.94</v>
      </c>
      <c r="Z48">
        <v>0</v>
      </c>
      <c r="AA48">
        <v>-1.76</v>
      </c>
      <c r="AB48">
        <v>-0.05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10.87</v>
      </c>
      <c r="AM48">
        <v>0</v>
      </c>
      <c r="AN48">
        <v>0</v>
      </c>
      <c r="AO48">
        <v>11.74</v>
      </c>
      <c r="AP48">
        <v>0</v>
      </c>
      <c r="AQ48">
        <v>0</v>
      </c>
      <c r="AR48">
        <v>591107629</v>
      </c>
    </row>
    <row r="49" spans="1:44" x14ac:dyDescent="0.25">
      <c r="A49" s="1">
        <v>46194.973913125003</v>
      </c>
      <c r="B49" s="2">
        <v>46194</v>
      </c>
      <c r="C49" s="1">
        <v>46194.765579791667</v>
      </c>
      <c r="D49" s="2">
        <v>46194</v>
      </c>
      <c r="E49" s="1">
        <v>46194.75339484954</v>
      </c>
      <c r="F49" s="1">
        <v>46194.765566354166</v>
      </c>
      <c r="G49" s="1">
        <v>46198.471236307872</v>
      </c>
      <c r="H49" s="2">
        <v>46198</v>
      </c>
      <c r="I49">
        <v>11717</v>
      </c>
      <c r="J49" t="s">
        <v>44</v>
      </c>
      <c r="K49">
        <v>241736</v>
      </c>
      <c r="L49" t="s">
        <v>45</v>
      </c>
      <c r="M49" t="s">
        <v>46</v>
      </c>
      <c r="N49" t="s">
        <v>47</v>
      </c>
      <c r="O49" t="s">
        <v>240</v>
      </c>
      <c r="P49">
        <v>17552612234</v>
      </c>
      <c r="Q49" t="s">
        <v>241</v>
      </c>
      <c r="R49" t="s">
        <v>242</v>
      </c>
      <c r="S49" t="s">
        <v>243</v>
      </c>
      <c r="T49" t="s">
        <v>48</v>
      </c>
      <c r="U49" t="s">
        <v>46</v>
      </c>
      <c r="V49" t="s">
        <v>49</v>
      </c>
      <c r="W49" t="s">
        <v>50</v>
      </c>
      <c r="X49">
        <v>22.24</v>
      </c>
      <c r="Y49">
        <v>1.78</v>
      </c>
      <c r="Z49">
        <v>0</v>
      </c>
      <c r="AA49">
        <v>-3.34</v>
      </c>
      <c r="AB49">
        <v>-0.09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20.59</v>
      </c>
      <c r="AM49">
        <v>0</v>
      </c>
      <c r="AN49">
        <v>0</v>
      </c>
      <c r="AO49">
        <v>22.24</v>
      </c>
      <c r="AP49">
        <v>0</v>
      </c>
      <c r="AQ49">
        <v>0</v>
      </c>
      <c r="AR49">
        <v>589239030</v>
      </c>
    </row>
    <row r="50" spans="1:44" x14ac:dyDescent="0.25">
      <c r="A50" s="1">
        <v>46194.754368252317</v>
      </c>
      <c r="B50" s="2">
        <v>46194</v>
      </c>
      <c r="C50" s="1">
        <v>46194.546034918982</v>
      </c>
      <c r="D50" s="2">
        <v>46194</v>
      </c>
      <c r="E50" s="1">
        <v>46194.535562766207</v>
      </c>
      <c r="F50" s="1">
        <v>46194.546023333336</v>
      </c>
      <c r="G50" s="1">
        <v>46198.471236307872</v>
      </c>
      <c r="H50" s="2">
        <v>46198</v>
      </c>
      <c r="I50">
        <v>11717</v>
      </c>
      <c r="J50" t="s">
        <v>44</v>
      </c>
      <c r="K50">
        <v>241736</v>
      </c>
      <c r="L50" t="s">
        <v>45</v>
      </c>
      <c r="M50" t="s">
        <v>46</v>
      </c>
      <c r="N50" t="s">
        <v>47</v>
      </c>
      <c r="O50" t="s">
        <v>244</v>
      </c>
      <c r="P50">
        <v>17549121740</v>
      </c>
      <c r="Q50" t="s">
        <v>245</v>
      </c>
      <c r="R50" t="s">
        <v>246</v>
      </c>
      <c r="S50" t="s">
        <v>247</v>
      </c>
      <c r="T50" t="s">
        <v>48</v>
      </c>
      <c r="U50" t="s">
        <v>46</v>
      </c>
      <c r="V50" t="s">
        <v>49</v>
      </c>
      <c r="W50" t="s">
        <v>50</v>
      </c>
      <c r="X50">
        <v>43.93</v>
      </c>
      <c r="Y50">
        <v>3.51</v>
      </c>
      <c r="Z50">
        <v>0</v>
      </c>
      <c r="AA50">
        <v>-6.59</v>
      </c>
      <c r="AB50">
        <v>-0.17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40.68</v>
      </c>
      <c r="AM50">
        <v>0</v>
      </c>
      <c r="AN50">
        <v>0</v>
      </c>
      <c r="AO50">
        <v>43.93</v>
      </c>
      <c r="AP50">
        <v>0</v>
      </c>
      <c r="AQ50">
        <v>0</v>
      </c>
      <c r="AR50">
        <v>589239030</v>
      </c>
    </row>
    <row r="51" spans="1:44" x14ac:dyDescent="0.25">
      <c r="A51" s="1">
        <v>46194.712951643516</v>
      </c>
      <c r="B51" s="2">
        <v>46194</v>
      </c>
      <c r="C51" s="1">
        <v>46194.504618310188</v>
      </c>
      <c r="D51" s="2">
        <v>46194</v>
      </c>
      <c r="E51" s="1">
        <v>46194.495439085651</v>
      </c>
      <c r="F51" s="1">
        <v>46194.504607499999</v>
      </c>
      <c r="G51" s="1">
        <v>46198.471236307872</v>
      </c>
      <c r="H51" s="2">
        <v>46198</v>
      </c>
      <c r="I51">
        <v>11717</v>
      </c>
      <c r="J51" t="s">
        <v>44</v>
      </c>
      <c r="K51">
        <v>241736</v>
      </c>
      <c r="L51" t="s">
        <v>45</v>
      </c>
      <c r="M51" t="s">
        <v>46</v>
      </c>
      <c r="N51" t="s">
        <v>47</v>
      </c>
      <c r="O51" t="s">
        <v>248</v>
      </c>
      <c r="P51">
        <v>17548551577</v>
      </c>
      <c r="Q51" t="s">
        <v>249</v>
      </c>
      <c r="R51" t="s">
        <v>250</v>
      </c>
      <c r="S51" t="s">
        <v>251</v>
      </c>
      <c r="T51" t="s">
        <v>48</v>
      </c>
      <c r="U51" t="s">
        <v>46</v>
      </c>
      <c r="V51" t="s">
        <v>49</v>
      </c>
      <c r="W51" t="s">
        <v>50</v>
      </c>
      <c r="X51">
        <v>49.47</v>
      </c>
      <c r="Y51">
        <v>3.96</v>
      </c>
      <c r="Z51">
        <v>0</v>
      </c>
      <c r="AA51">
        <v>-7.42</v>
      </c>
      <c r="AB51">
        <v>-0.2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45.81</v>
      </c>
      <c r="AM51">
        <v>0</v>
      </c>
      <c r="AN51">
        <v>0</v>
      </c>
      <c r="AO51">
        <v>49.47</v>
      </c>
      <c r="AP51">
        <v>0</v>
      </c>
      <c r="AQ51">
        <v>0</v>
      </c>
      <c r="AR51">
        <v>589239030</v>
      </c>
    </row>
    <row r="52" spans="1:44" x14ac:dyDescent="0.25">
      <c r="A52" s="1">
        <v>46194.704409293983</v>
      </c>
      <c r="B52" s="2">
        <v>46194</v>
      </c>
      <c r="C52" s="1">
        <v>46194.496075960647</v>
      </c>
      <c r="D52" s="2">
        <v>46194</v>
      </c>
      <c r="E52" s="1">
        <v>46194.486855868054</v>
      </c>
      <c r="F52" s="1">
        <v>46194.49606459491</v>
      </c>
      <c r="G52" s="1">
        <v>46198.471236307872</v>
      </c>
      <c r="H52" s="2">
        <v>46198</v>
      </c>
      <c r="I52">
        <v>11717</v>
      </c>
      <c r="J52" t="s">
        <v>44</v>
      </c>
      <c r="K52">
        <v>241736</v>
      </c>
      <c r="L52" t="s">
        <v>45</v>
      </c>
      <c r="M52" t="s">
        <v>46</v>
      </c>
      <c r="N52" t="s">
        <v>47</v>
      </c>
      <c r="O52" t="s">
        <v>252</v>
      </c>
      <c r="P52">
        <v>17548437069</v>
      </c>
      <c r="Q52" t="s">
        <v>253</v>
      </c>
      <c r="R52" t="s">
        <v>254</v>
      </c>
      <c r="S52" t="s">
        <v>255</v>
      </c>
      <c r="T52" t="s">
        <v>48</v>
      </c>
      <c r="U52" t="s">
        <v>46</v>
      </c>
      <c r="V52" t="s">
        <v>49</v>
      </c>
      <c r="W52" t="s">
        <v>50</v>
      </c>
      <c r="X52">
        <v>23.38</v>
      </c>
      <c r="Y52">
        <v>1.23</v>
      </c>
      <c r="Z52">
        <v>0</v>
      </c>
      <c r="AA52">
        <v>-2.31</v>
      </c>
      <c r="AB52">
        <v>-0.06</v>
      </c>
      <c r="AC52">
        <v>0</v>
      </c>
      <c r="AD52">
        <v>0</v>
      </c>
      <c r="AE52">
        <v>-8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14.24</v>
      </c>
      <c r="AM52">
        <v>0</v>
      </c>
      <c r="AN52">
        <v>0</v>
      </c>
      <c r="AO52">
        <v>15.38</v>
      </c>
      <c r="AP52">
        <v>0</v>
      </c>
      <c r="AQ52">
        <v>0</v>
      </c>
      <c r="AR52">
        <v>589239030</v>
      </c>
    </row>
    <row r="53" spans="1:44" x14ac:dyDescent="0.25">
      <c r="A53" s="1">
        <v>46194.69386748843</v>
      </c>
      <c r="B53" s="2">
        <v>46194</v>
      </c>
      <c r="C53" s="1">
        <v>46194.485534155094</v>
      </c>
      <c r="D53" s="2">
        <v>46194</v>
      </c>
      <c r="E53" s="1">
        <v>46194.478629421297</v>
      </c>
      <c r="F53" s="1">
        <v>46194.485523159725</v>
      </c>
      <c r="G53" s="1">
        <v>46198.471236307872</v>
      </c>
      <c r="H53" s="2">
        <v>46198</v>
      </c>
      <c r="I53">
        <v>11717</v>
      </c>
      <c r="J53" t="s">
        <v>44</v>
      </c>
      <c r="K53">
        <v>241736</v>
      </c>
      <c r="L53" t="s">
        <v>45</v>
      </c>
      <c r="M53" t="s">
        <v>46</v>
      </c>
      <c r="N53" t="s">
        <v>47</v>
      </c>
      <c r="O53" t="s">
        <v>256</v>
      </c>
      <c r="P53">
        <v>17548303038</v>
      </c>
      <c r="Q53" t="s">
        <v>257</v>
      </c>
      <c r="R53" t="s">
        <v>258</v>
      </c>
      <c r="S53" t="s">
        <v>259</v>
      </c>
      <c r="T53" t="s">
        <v>48</v>
      </c>
      <c r="U53" t="s">
        <v>46</v>
      </c>
      <c r="V53" t="s">
        <v>49</v>
      </c>
      <c r="W53" t="s">
        <v>50</v>
      </c>
      <c r="X53">
        <v>17.98</v>
      </c>
      <c r="Y53">
        <v>1.44</v>
      </c>
      <c r="Z53">
        <v>0</v>
      </c>
      <c r="AA53">
        <v>-2.7</v>
      </c>
      <c r="AB53">
        <v>-7.0000000000000007E-2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16.649999999999999</v>
      </c>
      <c r="AM53">
        <v>0</v>
      </c>
      <c r="AN53">
        <v>0</v>
      </c>
      <c r="AO53">
        <v>17.98</v>
      </c>
      <c r="AP53">
        <v>0</v>
      </c>
      <c r="AQ53">
        <v>0</v>
      </c>
      <c r="AR53">
        <v>589239030</v>
      </c>
    </row>
    <row r="54" spans="1:44" x14ac:dyDescent="0.25">
      <c r="A54" s="1">
        <v>46194.678781331022</v>
      </c>
      <c r="B54" s="2">
        <v>46194</v>
      </c>
      <c r="C54" s="1">
        <v>46194.470447997686</v>
      </c>
      <c r="D54" s="2">
        <v>46194</v>
      </c>
      <c r="E54" s="1">
        <v>46194.463846944447</v>
      </c>
      <c r="F54" s="1">
        <v>46194.470436516203</v>
      </c>
      <c r="G54" s="1">
        <v>46198.471236307872</v>
      </c>
      <c r="H54" s="2">
        <v>46198</v>
      </c>
      <c r="I54">
        <v>11717</v>
      </c>
      <c r="J54" t="s">
        <v>44</v>
      </c>
      <c r="K54">
        <v>241736</v>
      </c>
      <c r="L54" t="s">
        <v>45</v>
      </c>
      <c r="M54" t="s">
        <v>46</v>
      </c>
      <c r="N54" t="s">
        <v>47</v>
      </c>
      <c r="O54" t="s">
        <v>260</v>
      </c>
      <c r="P54">
        <v>17548116615</v>
      </c>
      <c r="Q54" t="s">
        <v>261</v>
      </c>
      <c r="R54" t="s">
        <v>262</v>
      </c>
      <c r="S54" t="s">
        <v>263</v>
      </c>
      <c r="T54" t="s">
        <v>48</v>
      </c>
      <c r="U54" t="s">
        <v>46</v>
      </c>
      <c r="V54" t="s">
        <v>49</v>
      </c>
      <c r="W54" t="s">
        <v>50</v>
      </c>
      <c r="X54">
        <v>22.8</v>
      </c>
      <c r="Y54">
        <v>1.82</v>
      </c>
      <c r="Z54">
        <v>0</v>
      </c>
      <c r="AA54">
        <v>-3.42</v>
      </c>
      <c r="AB54">
        <v>-0.09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21.11</v>
      </c>
      <c r="AM54">
        <v>0</v>
      </c>
      <c r="AN54">
        <v>0</v>
      </c>
      <c r="AO54">
        <v>22.8</v>
      </c>
      <c r="AP54">
        <v>0</v>
      </c>
      <c r="AQ54">
        <v>0</v>
      </c>
      <c r="AR54">
        <v>589239030</v>
      </c>
    </row>
    <row r="55" spans="1:44" x14ac:dyDescent="0.25">
      <c r="A55" s="1">
        <v>46194.02297489583</v>
      </c>
      <c r="B55" s="2">
        <v>46194</v>
      </c>
      <c r="C55" s="1">
        <v>46193.814641562501</v>
      </c>
      <c r="D55" s="2">
        <v>46193</v>
      </c>
      <c r="E55" s="1">
        <v>46193.800285844911</v>
      </c>
      <c r="F55" s="1">
        <v>46193.814629085646</v>
      </c>
      <c r="G55" s="1">
        <v>46198.471236307872</v>
      </c>
      <c r="H55" s="2">
        <v>46198</v>
      </c>
      <c r="I55">
        <v>11717</v>
      </c>
      <c r="J55" t="s">
        <v>44</v>
      </c>
      <c r="K55">
        <v>241736</v>
      </c>
      <c r="L55" t="s">
        <v>45</v>
      </c>
      <c r="M55" t="s">
        <v>46</v>
      </c>
      <c r="N55" t="s">
        <v>47</v>
      </c>
      <c r="O55" t="s">
        <v>264</v>
      </c>
      <c r="P55">
        <v>17542492647</v>
      </c>
      <c r="Q55" t="s">
        <v>265</v>
      </c>
      <c r="R55" t="s">
        <v>266</v>
      </c>
      <c r="S55" t="s">
        <v>267</v>
      </c>
      <c r="T55" t="s">
        <v>48</v>
      </c>
      <c r="U55" t="s">
        <v>46</v>
      </c>
      <c r="V55" t="s">
        <v>49</v>
      </c>
      <c r="W55" t="s">
        <v>50</v>
      </c>
      <c r="X55">
        <v>33.08</v>
      </c>
      <c r="Y55">
        <v>2.0099999999999998</v>
      </c>
      <c r="Z55">
        <v>0</v>
      </c>
      <c r="AA55">
        <v>-3.76</v>
      </c>
      <c r="AB55">
        <v>-0.1</v>
      </c>
      <c r="AC55">
        <v>0</v>
      </c>
      <c r="AD55">
        <v>0</v>
      </c>
      <c r="AE55">
        <v>-8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23.23</v>
      </c>
      <c r="AM55">
        <v>0</v>
      </c>
      <c r="AN55">
        <v>0</v>
      </c>
      <c r="AO55">
        <v>25.08</v>
      </c>
      <c r="AP55">
        <v>0</v>
      </c>
      <c r="AQ55">
        <v>0</v>
      </c>
      <c r="AR55">
        <v>589239030</v>
      </c>
    </row>
    <row r="56" spans="1:44" x14ac:dyDescent="0.25">
      <c r="A56" s="1">
        <v>46194.020633553242</v>
      </c>
      <c r="B56" s="2">
        <v>46194</v>
      </c>
      <c r="C56" s="1">
        <v>46193.812300219906</v>
      </c>
      <c r="D56" s="2">
        <v>46193</v>
      </c>
      <c r="E56" s="1">
        <v>46193.746423252313</v>
      </c>
      <c r="F56" s="1">
        <v>46193.812290150461</v>
      </c>
      <c r="G56" s="1">
        <v>46198.471236307872</v>
      </c>
      <c r="H56" s="2">
        <v>46198</v>
      </c>
      <c r="I56">
        <v>11717</v>
      </c>
      <c r="J56" t="s">
        <v>44</v>
      </c>
      <c r="K56">
        <v>241736</v>
      </c>
      <c r="L56" t="s">
        <v>45</v>
      </c>
      <c r="M56" t="s">
        <v>46</v>
      </c>
      <c r="N56" t="s">
        <v>47</v>
      </c>
      <c r="O56" t="s">
        <v>268</v>
      </c>
      <c r="P56">
        <v>17542434825</v>
      </c>
      <c r="Q56" t="s">
        <v>269</v>
      </c>
      <c r="R56" t="s">
        <v>270</v>
      </c>
      <c r="S56" t="s">
        <v>271</v>
      </c>
      <c r="T56" t="s">
        <v>48</v>
      </c>
      <c r="U56" t="s">
        <v>46</v>
      </c>
      <c r="V56" t="s">
        <v>51</v>
      </c>
      <c r="W56" t="s">
        <v>50</v>
      </c>
      <c r="X56">
        <v>12.99</v>
      </c>
      <c r="Y56">
        <v>1.04</v>
      </c>
      <c r="Z56">
        <v>1.4</v>
      </c>
      <c r="AA56">
        <v>-0.78</v>
      </c>
      <c r="AB56">
        <v>-0.05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14.6</v>
      </c>
      <c r="AM56">
        <v>0</v>
      </c>
      <c r="AN56">
        <v>0</v>
      </c>
      <c r="AO56">
        <v>12.99</v>
      </c>
      <c r="AP56">
        <v>0</v>
      </c>
      <c r="AQ56">
        <v>0</v>
      </c>
      <c r="AR56">
        <v>589239030</v>
      </c>
    </row>
    <row r="57" spans="1:44" x14ac:dyDescent="0.25">
      <c r="A57" s="1">
        <v>46194.01942783565</v>
      </c>
      <c r="B57" s="2">
        <v>46194</v>
      </c>
      <c r="C57" s="1">
        <v>46193.811094502315</v>
      </c>
      <c r="D57" s="2">
        <v>46193</v>
      </c>
      <c r="E57" s="1">
        <v>46193.743030069447</v>
      </c>
      <c r="F57" s="1">
        <v>46193.811085381945</v>
      </c>
      <c r="G57" s="1">
        <v>46198.471236307872</v>
      </c>
      <c r="H57" s="2">
        <v>46198</v>
      </c>
      <c r="I57">
        <v>11717</v>
      </c>
      <c r="J57" t="s">
        <v>44</v>
      </c>
      <c r="K57">
        <v>241736</v>
      </c>
      <c r="L57" t="s">
        <v>45</v>
      </c>
      <c r="M57" t="s">
        <v>46</v>
      </c>
      <c r="N57" t="s">
        <v>47</v>
      </c>
      <c r="O57" t="s">
        <v>272</v>
      </c>
      <c r="P57">
        <v>17542409754</v>
      </c>
      <c r="Q57" t="s">
        <v>273</v>
      </c>
      <c r="R57" t="s">
        <v>274</v>
      </c>
      <c r="S57" t="s">
        <v>275</v>
      </c>
      <c r="T57" t="s">
        <v>48</v>
      </c>
      <c r="U57" t="s">
        <v>46</v>
      </c>
      <c r="V57" t="s">
        <v>51</v>
      </c>
      <c r="W57" t="s">
        <v>50</v>
      </c>
      <c r="X57">
        <v>47.45</v>
      </c>
      <c r="Y57">
        <v>3.16</v>
      </c>
      <c r="Z57">
        <v>4</v>
      </c>
      <c r="AA57">
        <v>-2.37</v>
      </c>
      <c r="AB57">
        <v>-0.16</v>
      </c>
      <c r="AC57">
        <v>0</v>
      </c>
      <c r="AD57">
        <v>0</v>
      </c>
      <c r="AE57">
        <v>-8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44.08</v>
      </c>
      <c r="AM57">
        <v>0</v>
      </c>
      <c r="AN57">
        <v>0</v>
      </c>
      <c r="AO57">
        <v>39.450000000000003</v>
      </c>
      <c r="AP57">
        <v>0</v>
      </c>
      <c r="AQ57">
        <v>0</v>
      </c>
      <c r="AR57">
        <v>589239030</v>
      </c>
    </row>
    <row r="58" spans="1:44" x14ac:dyDescent="0.25">
      <c r="A58" s="1">
        <v>46194.013336504628</v>
      </c>
      <c r="B58" s="2">
        <v>46194</v>
      </c>
      <c r="C58" s="1">
        <v>46193.805003171299</v>
      </c>
      <c r="D58" s="2">
        <v>46193</v>
      </c>
      <c r="E58" s="1">
        <v>46193.790676516204</v>
      </c>
      <c r="F58" s="1">
        <v>46193.804991249999</v>
      </c>
      <c r="G58" s="1">
        <v>46198.471236307872</v>
      </c>
      <c r="H58" s="2">
        <v>46198</v>
      </c>
      <c r="I58">
        <v>11717</v>
      </c>
      <c r="J58" t="s">
        <v>44</v>
      </c>
      <c r="K58">
        <v>241736</v>
      </c>
      <c r="L58" t="s">
        <v>45</v>
      </c>
      <c r="M58" t="s">
        <v>46</v>
      </c>
      <c r="N58" t="s">
        <v>47</v>
      </c>
      <c r="O58" t="s">
        <v>276</v>
      </c>
      <c r="P58">
        <v>17542282132</v>
      </c>
      <c r="Q58" t="s">
        <v>277</v>
      </c>
      <c r="R58" t="s">
        <v>278</v>
      </c>
      <c r="S58" t="s">
        <v>279</v>
      </c>
      <c r="T58" t="s">
        <v>48</v>
      </c>
      <c r="U58" t="s">
        <v>46</v>
      </c>
      <c r="V58" t="s">
        <v>49</v>
      </c>
      <c r="W58" t="s">
        <v>50</v>
      </c>
      <c r="X58">
        <v>17.329999999999998</v>
      </c>
      <c r="Y58">
        <v>1.39</v>
      </c>
      <c r="Z58">
        <v>0</v>
      </c>
      <c r="AA58">
        <v>-2.6</v>
      </c>
      <c r="AB58">
        <v>-7.0000000000000007E-2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16.05</v>
      </c>
      <c r="AM58">
        <v>0</v>
      </c>
      <c r="AN58">
        <v>0</v>
      </c>
      <c r="AO58">
        <v>17.329999999999998</v>
      </c>
      <c r="AP58">
        <v>0</v>
      </c>
      <c r="AQ58">
        <v>0</v>
      </c>
      <c r="AR58">
        <v>589239030</v>
      </c>
    </row>
    <row r="59" spans="1:44" x14ac:dyDescent="0.25">
      <c r="A59" s="1">
        <v>46194.001663449075</v>
      </c>
      <c r="B59" s="2">
        <v>46194</v>
      </c>
      <c r="C59" s="1">
        <v>46193.793330115739</v>
      </c>
      <c r="D59" s="2">
        <v>46193</v>
      </c>
      <c r="E59" s="1">
        <v>46193.755551249997</v>
      </c>
      <c r="F59" s="1">
        <v>46193.771429398148</v>
      </c>
      <c r="G59" s="1">
        <v>46198.471236307872</v>
      </c>
      <c r="H59" s="2">
        <v>46198</v>
      </c>
      <c r="I59">
        <v>11717</v>
      </c>
      <c r="J59" t="s">
        <v>44</v>
      </c>
      <c r="K59">
        <v>241736</v>
      </c>
      <c r="L59" t="s">
        <v>45</v>
      </c>
      <c r="M59" t="s">
        <v>46</v>
      </c>
      <c r="N59" t="s">
        <v>280</v>
      </c>
      <c r="O59" t="s">
        <v>281</v>
      </c>
      <c r="P59">
        <v>17542033934</v>
      </c>
      <c r="Q59" t="s">
        <v>282</v>
      </c>
      <c r="R59" t="s">
        <v>283</v>
      </c>
      <c r="S59" t="s">
        <v>284</v>
      </c>
      <c r="T59" t="s">
        <v>48</v>
      </c>
      <c r="U59" t="s">
        <v>285</v>
      </c>
      <c r="V59" t="s">
        <v>49</v>
      </c>
      <c r="W59" t="s">
        <v>50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-9.6199999999999992</v>
      </c>
      <c r="AK59">
        <v>0</v>
      </c>
      <c r="AL59">
        <v>-9.6199999999999992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589239030</v>
      </c>
    </row>
    <row r="60" spans="1:44" x14ac:dyDescent="0.25">
      <c r="A60" s="1">
        <v>46193.979777997687</v>
      </c>
      <c r="B60" s="2">
        <v>46193</v>
      </c>
      <c r="C60" s="1">
        <v>46193.771444664351</v>
      </c>
      <c r="D60" s="2">
        <v>46193</v>
      </c>
      <c r="E60" s="1">
        <v>46193.755551249997</v>
      </c>
      <c r="F60" s="1">
        <v>46193.771429398148</v>
      </c>
      <c r="G60" s="1">
        <v>46198.471236307872</v>
      </c>
      <c r="H60" s="2">
        <v>46198</v>
      </c>
      <c r="I60">
        <v>11717</v>
      </c>
      <c r="J60" t="s">
        <v>44</v>
      </c>
      <c r="K60">
        <v>241736</v>
      </c>
      <c r="L60" t="s">
        <v>45</v>
      </c>
      <c r="M60" t="s">
        <v>46</v>
      </c>
      <c r="N60" t="s">
        <v>47</v>
      </c>
      <c r="O60" t="s">
        <v>281</v>
      </c>
      <c r="P60">
        <v>17541567031</v>
      </c>
      <c r="Q60" t="s">
        <v>282</v>
      </c>
      <c r="R60" t="s">
        <v>283</v>
      </c>
      <c r="S60" t="s">
        <v>284</v>
      </c>
      <c r="T60" t="s">
        <v>48</v>
      </c>
      <c r="U60" t="s">
        <v>46</v>
      </c>
      <c r="V60" t="s">
        <v>49</v>
      </c>
      <c r="W60" t="s">
        <v>50</v>
      </c>
      <c r="X60">
        <v>66.56</v>
      </c>
      <c r="Y60">
        <v>4.68</v>
      </c>
      <c r="Z60">
        <v>0</v>
      </c>
      <c r="AA60">
        <v>-8.7799999999999994</v>
      </c>
      <c r="AB60">
        <v>-0.23</v>
      </c>
      <c r="AC60">
        <v>0</v>
      </c>
      <c r="AD60">
        <v>0</v>
      </c>
      <c r="AE60">
        <v>-8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54.23</v>
      </c>
      <c r="AM60">
        <v>0</v>
      </c>
      <c r="AN60">
        <v>0</v>
      </c>
      <c r="AO60">
        <v>58.56</v>
      </c>
      <c r="AP60">
        <v>0</v>
      </c>
      <c r="AQ60">
        <v>0</v>
      </c>
      <c r="AR60">
        <v>589239030</v>
      </c>
    </row>
    <row r="61" spans="1:44" x14ac:dyDescent="0.25">
      <c r="A61" s="1">
        <v>46193.956817627317</v>
      </c>
      <c r="B61" s="2">
        <v>46193</v>
      </c>
      <c r="C61" s="1">
        <v>46193.748484293981</v>
      </c>
      <c r="D61" s="2">
        <v>46193</v>
      </c>
      <c r="E61" s="1">
        <v>46193.735932291667</v>
      </c>
      <c r="F61" s="1">
        <v>46193.748473368054</v>
      </c>
      <c r="G61" s="1">
        <v>46198.471236307872</v>
      </c>
      <c r="H61" s="2">
        <v>46198</v>
      </c>
      <c r="I61">
        <v>11717</v>
      </c>
      <c r="J61" t="s">
        <v>44</v>
      </c>
      <c r="K61">
        <v>241736</v>
      </c>
      <c r="L61" t="s">
        <v>45</v>
      </c>
      <c r="M61" t="s">
        <v>46</v>
      </c>
      <c r="N61" t="s">
        <v>47</v>
      </c>
      <c r="O61" t="s">
        <v>286</v>
      </c>
      <c r="P61">
        <v>17541091665</v>
      </c>
      <c r="Q61" t="s">
        <v>287</v>
      </c>
      <c r="R61" t="s">
        <v>288</v>
      </c>
      <c r="S61" s="3" t="s">
        <v>289</v>
      </c>
      <c r="T61" t="s">
        <v>48</v>
      </c>
      <c r="U61" t="s">
        <v>46</v>
      </c>
      <c r="V61" t="s">
        <v>49</v>
      </c>
      <c r="W61" t="s">
        <v>50</v>
      </c>
      <c r="X61">
        <v>56.7</v>
      </c>
      <c r="Y61">
        <v>4.54</v>
      </c>
      <c r="Z61">
        <v>0</v>
      </c>
      <c r="AA61">
        <v>-8.51</v>
      </c>
      <c r="AB61">
        <v>-0.22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52.51</v>
      </c>
      <c r="AM61">
        <v>0</v>
      </c>
      <c r="AN61">
        <v>0</v>
      </c>
      <c r="AO61">
        <v>56.7</v>
      </c>
      <c r="AP61">
        <v>0</v>
      </c>
      <c r="AQ61">
        <v>0</v>
      </c>
      <c r="AR61">
        <v>589239030</v>
      </c>
    </row>
    <row r="62" spans="1:44" x14ac:dyDescent="0.25">
      <c r="A62" s="1">
        <v>46193.935543553242</v>
      </c>
      <c r="B62" s="2">
        <v>46193</v>
      </c>
      <c r="C62" s="1">
        <v>46193.727210219906</v>
      </c>
      <c r="D62" s="2">
        <v>46193</v>
      </c>
      <c r="E62" s="1">
        <v>46193.718529189813</v>
      </c>
      <c r="F62" s="1">
        <v>46193.727199432869</v>
      </c>
      <c r="G62" s="1">
        <v>46198.471236307872</v>
      </c>
      <c r="H62" s="2">
        <v>46198</v>
      </c>
      <c r="I62">
        <v>11717</v>
      </c>
      <c r="J62" t="s">
        <v>44</v>
      </c>
      <c r="K62">
        <v>241736</v>
      </c>
      <c r="L62" t="s">
        <v>45</v>
      </c>
      <c r="M62" t="s">
        <v>46</v>
      </c>
      <c r="N62" t="s">
        <v>47</v>
      </c>
      <c r="O62" t="s">
        <v>290</v>
      </c>
      <c r="P62">
        <v>17540673019</v>
      </c>
      <c r="Q62" t="s">
        <v>291</v>
      </c>
      <c r="R62" t="s">
        <v>292</v>
      </c>
      <c r="S62" t="s">
        <v>293</v>
      </c>
      <c r="T62" t="s">
        <v>48</v>
      </c>
      <c r="U62" t="s">
        <v>46</v>
      </c>
      <c r="V62" t="s">
        <v>49</v>
      </c>
      <c r="W62" t="s">
        <v>50</v>
      </c>
      <c r="X62">
        <v>23.47</v>
      </c>
      <c r="Y62">
        <v>1.1299999999999999</v>
      </c>
      <c r="Z62">
        <v>0</v>
      </c>
      <c r="AA62">
        <v>-3.52</v>
      </c>
      <c r="AB62">
        <v>-0.09</v>
      </c>
      <c r="AC62">
        <v>0</v>
      </c>
      <c r="AD62">
        <v>0</v>
      </c>
      <c r="AE62">
        <v>0</v>
      </c>
      <c r="AF62">
        <v>-9.39</v>
      </c>
      <c r="AG62">
        <v>0</v>
      </c>
      <c r="AH62">
        <v>9.39</v>
      </c>
      <c r="AI62">
        <v>0</v>
      </c>
      <c r="AJ62">
        <v>0</v>
      </c>
      <c r="AK62">
        <v>0</v>
      </c>
      <c r="AL62">
        <v>20.99</v>
      </c>
      <c r="AM62">
        <v>0</v>
      </c>
      <c r="AN62">
        <v>0</v>
      </c>
      <c r="AO62">
        <v>14.08</v>
      </c>
      <c r="AP62">
        <v>0</v>
      </c>
      <c r="AQ62">
        <v>0</v>
      </c>
      <c r="AR62">
        <v>589239030</v>
      </c>
    </row>
    <row r="63" spans="1:44" x14ac:dyDescent="0.25">
      <c r="A63" s="1">
        <v>46193.888933414353</v>
      </c>
      <c r="B63" s="2">
        <v>46193</v>
      </c>
      <c r="C63" s="1">
        <v>46193.680600081017</v>
      </c>
      <c r="D63" s="2">
        <v>46193</v>
      </c>
      <c r="E63" s="1">
        <v>46193.670817048609</v>
      </c>
      <c r="F63" s="1">
        <v>46193.68058537037</v>
      </c>
      <c r="G63" s="1">
        <v>46198.471236307872</v>
      </c>
      <c r="H63" s="2">
        <v>46198</v>
      </c>
      <c r="I63">
        <v>11717</v>
      </c>
      <c r="J63" t="s">
        <v>44</v>
      </c>
      <c r="K63">
        <v>241736</v>
      </c>
      <c r="L63" t="s">
        <v>45</v>
      </c>
      <c r="M63" t="s">
        <v>46</v>
      </c>
      <c r="N63" t="s">
        <v>47</v>
      </c>
      <c r="O63" t="s">
        <v>294</v>
      </c>
      <c r="P63">
        <v>17539835857</v>
      </c>
      <c r="Q63" s="3" t="s">
        <v>295</v>
      </c>
      <c r="R63" t="s">
        <v>296</v>
      </c>
      <c r="S63" t="s">
        <v>297</v>
      </c>
      <c r="T63" t="s">
        <v>48</v>
      </c>
      <c r="U63" t="s">
        <v>46</v>
      </c>
      <c r="V63" t="s">
        <v>49</v>
      </c>
      <c r="W63" t="s">
        <v>50</v>
      </c>
      <c r="X63">
        <v>36.56</v>
      </c>
      <c r="Y63">
        <v>2.92</v>
      </c>
      <c r="Z63">
        <v>0</v>
      </c>
      <c r="AA63">
        <v>-5.48</v>
      </c>
      <c r="AB63">
        <v>-0.14000000000000001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33.86</v>
      </c>
      <c r="AM63">
        <v>0</v>
      </c>
      <c r="AN63">
        <v>0</v>
      </c>
      <c r="AO63">
        <v>36.56</v>
      </c>
      <c r="AP63">
        <v>0</v>
      </c>
      <c r="AQ63">
        <v>0</v>
      </c>
      <c r="AR63">
        <v>589239030</v>
      </c>
    </row>
    <row r="64" spans="1:44" x14ac:dyDescent="0.25">
      <c r="A64" s="1">
        <v>46193.887139224535</v>
      </c>
      <c r="B64" s="2">
        <v>46193</v>
      </c>
      <c r="C64" s="1">
        <v>46193.678805891206</v>
      </c>
      <c r="D64" s="2">
        <v>46193</v>
      </c>
      <c r="E64" s="1">
        <v>46193.670989178238</v>
      </c>
      <c r="F64" s="1">
        <v>46193.678794675929</v>
      </c>
      <c r="G64" s="1">
        <v>46198.471236307872</v>
      </c>
      <c r="H64" s="2">
        <v>46198</v>
      </c>
      <c r="I64">
        <v>11717</v>
      </c>
      <c r="J64" t="s">
        <v>44</v>
      </c>
      <c r="K64">
        <v>241736</v>
      </c>
      <c r="L64" t="s">
        <v>45</v>
      </c>
      <c r="M64" t="s">
        <v>46</v>
      </c>
      <c r="N64" t="s">
        <v>47</v>
      </c>
      <c r="O64" t="s">
        <v>298</v>
      </c>
      <c r="P64">
        <v>17539807063</v>
      </c>
      <c r="Q64" t="s">
        <v>299</v>
      </c>
      <c r="R64" t="s">
        <v>300</v>
      </c>
      <c r="S64" t="s">
        <v>301</v>
      </c>
      <c r="T64" t="s">
        <v>48</v>
      </c>
      <c r="U64" t="s">
        <v>46</v>
      </c>
      <c r="V64" t="s">
        <v>49</v>
      </c>
      <c r="W64" t="s">
        <v>50</v>
      </c>
      <c r="X64">
        <v>30.68</v>
      </c>
      <c r="Y64">
        <v>2.4500000000000002</v>
      </c>
      <c r="Z64">
        <v>0</v>
      </c>
      <c r="AA64">
        <v>-4.5999999999999996</v>
      </c>
      <c r="AB64">
        <v>-0.12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28.41</v>
      </c>
      <c r="AM64">
        <v>0</v>
      </c>
      <c r="AN64">
        <v>0</v>
      </c>
      <c r="AO64">
        <v>30.68</v>
      </c>
      <c r="AP64">
        <v>0</v>
      </c>
      <c r="AQ64">
        <v>0</v>
      </c>
      <c r="AR64">
        <v>589239030</v>
      </c>
    </row>
    <row r="65" spans="1:44" x14ac:dyDescent="0.25">
      <c r="A65" s="1">
        <v>46193.849259050927</v>
      </c>
      <c r="B65" s="2">
        <v>46193</v>
      </c>
      <c r="C65" s="1">
        <v>46193.640925717591</v>
      </c>
      <c r="D65" s="2">
        <v>46193</v>
      </c>
      <c r="E65" s="1">
        <v>46193.630632337961</v>
      </c>
      <c r="F65" s="1">
        <v>46193.64091386574</v>
      </c>
      <c r="G65" s="1">
        <v>46198.471236307872</v>
      </c>
      <c r="H65" s="2">
        <v>46198</v>
      </c>
      <c r="I65">
        <v>11717</v>
      </c>
      <c r="J65" t="s">
        <v>44</v>
      </c>
      <c r="K65">
        <v>241736</v>
      </c>
      <c r="L65" t="s">
        <v>45</v>
      </c>
      <c r="M65" t="s">
        <v>46</v>
      </c>
      <c r="N65" t="s">
        <v>47</v>
      </c>
      <c r="O65" t="s">
        <v>302</v>
      </c>
      <c r="P65">
        <v>17539203018</v>
      </c>
      <c r="Q65" t="s">
        <v>303</v>
      </c>
      <c r="R65" t="s">
        <v>304</v>
      </c>
      <c r="S65" t="s">
        <v>305</v>
      </c>
      <c r="T65" t="s">
        <v>48</v>
      </c>
      <c r="U65" t="s">
        <v>46</v>
      </c>
      <c r="V65" t="s">
        <v>49</v>
      </c>
      <c r="W65" t="s">
        <v>50</v>
      </c>
      <c r="X65">
        <v>8.75</v>
      </c>
      <c r="Y65">
        <v>0.7</v>
      </c>
      <c r="Z65">
        <v>0</v>
      </c>
      <c r="AA65">
        <v>-1.31</v>
      </c>
      <c r="AB65">
        <v>-0.03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8.11</v>
      </c>
      <c r="AM65">
        <v>0</v>
      </c>
      <c r="AN65">
        <v>0</v>
      </c>
      <c r="AO65">
        <v>8.75</v>
      </c>
      <c r="AP65">
        <v>0</v>
      </c>
      <c r="AQ65">
        <v>0</v>
      </c>
      <c r="AR65">
        <v>589239030</v>
      </c>
    </row>
    <row r="66" spans="1:44" x14ac:dyDescent="0.25">
      <c r="A66" s="1">
        <v>46193.844165335649</v>
      </c>
      <c r="B66" s="2">
        <v>46193</v>
      </c>
      <c r="C66" s="1">
        <v>46193.635832002314</v>
      </c>
      <c r="D66" s="2">
        <v>46193</v>
      </c>
      <c r="E66" s="1">
        <v>46193.62791560185</v>
      </c>
      <c r="F66" s="1">
        <v>46193.63582048611</v>
      </c>
      <c r="G66" s="1">
        <v>46198.471236307872</v>
      </c>
      <c r="H66" s="2">
        <v>46198</v>
      </c>
      <c r="I66">
        <v>11717</v>
      </c>
      <c r="J66" t="s">
        <v>44</v>
      </c>
      <c r="K66">
        <v>241736</v>
      </c>
      <c r="L66" t="s">
        <v>45</v>
      </c>
      <c r="M66" t="s">
        <v>46</v>
      </c>
      <c r="N66" t="s">
        <v>47</v>
      </c>
      <c r="O66" t="s">
        <v>306</v>
      </c>
      <c r="P66">
        <v>17539128515</v>
      </c>
      <c r="Q66" t="s">
        <v>307</v>
      </c>
      <c r="R66" t="s">
        <v>308</v>
      </c>
      <c r="S66" t="s">
        <v>309</v>
      </c>
      <c r="T66" t="s">
        <v>48</v>
      </c>
      <c r="U66" t="s">
        <v>46</v>
      </c>
      <c r="V66" t="s">
        <v>49</v>
      </c>
      <c r="W66" t="s">
        <v>50</v>
      </c>
      <c r="X66">
        <v>38.47</v>
      </c>
      <c r="Y66">
        <v>2.44</v>
      </c>
      <c r="Z66">
        <v>0</v>
      </c>
      <c r="AA66">
        <v>-4.57</v>
      </c>
      <c r="AB66">
        <v>-0.12</v>
      </c>
      <c r="AC66">
        <v>0</v>
      </c>
      <c r="AD66">
        <v>0</v>
      </c>
      <c r="AE66">
        <v>-8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28.22</v>
      </c>
      <c r="AM66">
        <v>0</v>
      </c>
      <c r="AN66">
        <v>0</v>
      </c>
      <c r="AO66">
        <v>30.47</v>
      </c>
      <c r="AP66">
        <v>0</v>
      </c>
      <c r="AQ66">
        <v>0</v>
      </c>
      <c r="AR66">
        <v>589239030</v>
      </c>
    </row>
    <row r="67" spans="1:44" x14ac:dyDescent="0.25">
      <c r="A67" s="1">
        <v>46193.824256979169</v>
      </c>
      <c r="B67" s="2">
        <v>46193</v>
      </c>
      <c r="C67" s="1">
        <v>46193.615923645833</v>
      </c>
      <c r="D67" s="2">
        <v>46193</v>
      </c>
      <c r="E67" s="1">
        <v>46193.604422245371</v>
      </c>
      <c r="F67" s="1">
        <v>46193.615912766203</v>
      </c>
      <c r="G67" s="1">
        <v>46198.471236307872</v>
      </c>
      <c r="H67" s="2">
        <v>46198</v>
      </c>
      <c r="I67">
        <v>11717</v>
      </c>
      <c r="J67" t="s">
        <v>44</v>
      </c>
      <c r="K67">
        <v>241736</v>
      </c>
      <c r="L67" t="s">
        <v>45</v>
      </c>
      <c r="M67" t="s">
        <v>46</v>
      </c>
      <c r="N67" t="s">
        <v>47</v>
      </c>
      <c r="O67" t="s">
        <v>310</v>
      </c>
      <c r="P67">
        <v>17538828567</v>
      </c>
      <c r="Q67" t="s">
        <v>311</v>
      </c>
      <c r="R67" t="s">
        <v>312</v>
      </c>
      <c r="S67" t="s">
        <v>313</v>
      </c>
      <c r="T67" t="s">
        <v>48</v>
      </c>
      <c r="U67" t="s">
        <v>46</v>
      </c>
      <c r="V67" t="s">
        <v>49</v>
      </c>
      <c r="W67" t="s">
        <v>50</v>
      </c>
      <c r="X67">
        <v>12.99</v>
      </c>
      <c r="Y67">
        <v>0.4</v>
      </c>
      <c r="Z67">
        <v>0</v>
      </c>
      <c r="AA67">
        <v>-0.75</v>
      </c>
      <c r="AB67">
        <v>-0.02</v>
      </c>
      <c r="AC67">
        <v>0</v>
      </c>
      <c r="AD67">
        <v>0</v>
      </c>
      <c r="AE67">
        <v>-8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4.62</v>
      </c>
      <c r="AM67">
        <v>0</v>
      </c>
      <c r="AN67">
        <v>0</v>
      </c>
      <c r="AO67">
        <v>4.99</v>
      </c>
      <c r="AP67">
        <v>0</v>
      </c>
      <c r="AQ67">
        <v>0</v>
      </c>
      <c r="AR67">
        <v>589239030</v>
      </c>
    </row>
    <row r="68" spans="1:44" x14ac:dyDescent="0.25">
      <c r="A68" s="1">
        <v>46193.819541296296</v>
      </c>
      <c r="B68" s="2">
        <v>46193</v>
      </c>
      <c r="C68" s="1">
        <v>46193.61120796296</v>
      </c>
      <c r="D68" s="2">
        <v>46193</v>
      </c>
      <c r="E68" s="1">
        <v>46193.6007030787</v>
      </c>
      <c r="F68" s="1">
        <v>46193.611197372687</v>
      </c>
      <c r="G68" s="1">
        <v>46198.471236307872</v>
      </c>
      <c r="H68" s="2">
        <v>46198</v>
      </c>
      <c r="I68">
        <v>11717</v>
      </c>
      <c r="J68" t="s">
        <v>44</v>
      </c>
      <c r="K68">
        <v>241736</v>
      </c>
      <c r="L68" t="s">
        <v>45</v>
      </c>
      <c r="M68" t="s">
        <v>46</v>
      </c>
      <c r="N68" t="s">
        <v>47</v>
      </c>
      <c r="O68" t="s">
        <v>314</v>
      </c>
      <c r="P68">
        <v>17538755300</v>
      </c>
      <c r="Q68" t="s">
        <v>315</v>
      </c>
      <c r="R68" t="s">
        <v>316</v>
      </c>
      <c r="S68" t="s">
        <v>317</v>
      </c>
      <c r="T68" t="s">
        <v>48</v>
      </c>
      <c r="U68" t="s">
        <v>46</v>
      </c>
      <c r="V68" t="s">
        <v>49</v>
      </c>
      <c r="W68" t="s">
        <v>50</v>
      </c>
      <c r="X68">
        <v>23.98</v>
      </c>
      <c r="Y68">
        <v>1.92</v>
      </c>
      <c r="Z68">
        <v>0</v>
      </c>
      <c r="AA68">
        <v>-3.6</v>
      </c>
      <c r="AB68">
        <v>-0.09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22.21</v>
      </c>
      <c r="AM68">
        <v>0</v>
      </c>
      <c r="AN68">
        <v>0</v>
      </c>
      <c r="AO68">
        <v>23.98</v>
      </c>
      <c r="AP68">
        <v>0</v>
      </c>
      <c r="AQ68">
        <v>0</v>
      </c>
      <c r="AR68">
        <v>589239030</v>
      </c>
    </row>
    <row r="69" spans="1:44" x14ac:dyDescent="0.25">
      <c r="A69" s="1">
        <v>46193.761187442127</v>
      </c>
      <c r="B69" s="2">
        <v>46193</v>
      </c>
      <c r="C69" s="1">
        <v>46193.552854108799</v>
      </c>
      <c r="D69" s="2">
        <v>46193</v>
      </c>
      <c r="E69" s="1">
        <v>46193.538275069448</v>
      </c>
      <c r="F69" s="1">
        <v>46193.552842766207</v>
      </c>
      <c r="G69" s="1">
        <v>46198.471236307872</v>
      </c>
      <c r="H69" s="2">
        <v>46198</v>
      </c>
      <c r="I69">
        <v>11717</v>
      </c>
      <c r="J69" t="s">
        <v>44</v>
      </c>
      <c r="K69">
        <v>241736</v>
      </c>
      <c r="L69" t="s">
        <v>45</v>
      </c>
      <c r="M69" t="s">
        <v>46</v>
      </c>
      <c r="N69" t="s">
        <v>47</v>
      </c>
      <c r="O69" t="s">
        <v>318</v>
      </c>
      <c r="P69">
        <v>17537881324</v>
      </c>
      <c r="Q69" t="s">
        <v>319</v>
      </c>
      <c r="R69" t="s">
        <v>320</v>
      </c>
      <c r="S69" t="s">
        <v>321</v>
      </c>
      <c r="T69" t="s">
        <v>48</v>
      </c>
      <c r="U69" t="s">
        <v>46</v>
      </c>
      <c r="V69" t="s">
        <v>49</v>
      </c>
      <c r="W69" t="s">
        <v>50</v>
      </c>
      <c r="X69">
        <v>63.41</v>
      </c>
      <c r="Y69">
        <v>5.07</v>
      </c>
      <c r="Z69">
        <v>0</v>
      </c>
      <c r="AA69">
        <v>-9.51</v>
      </c>
      <c r="AB69">
        <v>-0.25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58.72</v>
      </c>
      <c r="AM69">
        <v>0</v>
      </c>
      <c r="AN69">
        <v>0</v>
      </c>
      <c r="AO69">
        <v>63.41</v>
      </c>
      <c r="AP69">
        <v>0</v>
      </c>
      <c r="AQ69">
        <v>0</v>
      </c>
      <c r="AR69">
        <v>589239030</v>
      </c>
    </row>
    <row r="70" spans="1:44" x14ac:dyDescent="0.25">
      <c r="A70" s="1">
        <v>46193.054827025466</v>
      </c>
      <c r="B70" s="2">
        <v>46193</v>
      </c>
      <c r="C70" s="1">
        <v>46192.84649369213</v>
      </c>
      <c r="D70" s="2">
        <v>46192</v>
      </c>
      <c r="E70" s="1">
        <v>46192.832486030093</v>
      </c>
      <c r="F70" s="1">
        <v>46192.846479571759</v>
      </c>
      <c r="G70" s="1">
        <v>46198.471236307872</v>
      </c>
      <c r="H70" s="2">
        <v>46198</v>
      </c>
      <c r="I70">
        <v>11717</v>
      </c>
      <c r="J70" t="s">
        <v>44</v>
      </c>
      <c r="K70">
        <v>241736</v>
      </c>
      <c r="L70" t="s">
        <v>45</v>
      </c>
      <c r="M70" t="s">
        <v>46</v>
      </c>
      <c r="N70" t="s">
        <v>47</v>
      </c>
      <c r="O70" t="s">
        <v>322</v>
      </c>
      <c r="P70">
        <v>17531672260</v>
      </c>
      <c r="Q70" t="s">
        <v>323</v>
      </c>
      <c r="R70" t="s">
        <v>324</v>
      </c>
      <c r="S70" t="s">
        <v>325</v>
      </c>
      <c r="T70" t="s">
        <v>48</v>
      </c>
      <c r="U70" t="s">
        <v>46</v>
      </c>
      <c r="V70" t="s">
        <v>49</v>
      </c>
      <c r="W70" t="s">
        <v>50</v>
      </c>
      <c r="X70">
        <v>21.56</v>
      </c>
      <c r="Y70">
        <v>1.72</v>
      </c>
      <c r="Z70">
        <v>0</v>
      </c>
      <c r="AA70">
        <v>-3.23</v>
      </c>
      <c r="AB70">
        <v>-0.09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19.96</v>
      </c>
      <c r="AM70">
        <v>0</v>
      </c>
      <c r="AN70">
        <v>0</v>
      </c>
      <c r="AO70">
        <v>21.56</v>
      </c>
      <c r="AP70">
        <v>0</v>
      </c>
      <c r="AQ70">
        <v>0</v>
      </c>
      <c r="AR70">
        <v>589239030</v>
      </c>
    </row>
    <row r="71" spans="1:44" x14ac:dyDescent="0.25">
      <c r="A71" s="1">
        <v>46192.986268715278</v>
      </c>
      <c r="B71" s="2">
        <v>46192</v>
      </c>
      <c r="C71" s="1">
        <v>46192.777935381942</v>
      </c>
      <c r="D71" s="2">
        <v>46192</v>
      </c>
      <c r="E71" s="1">
        <v>46192.768242662038</v>
      </c>
      <c r="F71" s="1">
        <v>46192.777922638888</v>
      </c>
      <c r="G71" s="1">
        <v>46198.471236307872</v>
      </c>
      <c r="H71" s="2">
        <v>46198</v>
      </c>
      <c r="I71">
        <v>11717</v>
      </c>
      <c r="J71" t="s">
        <v>44</v>
      </c>
      <c r="K71">
        <v>241736</v>
      </c>
      <c r="L71" t="s">
        <v>45</v>
      </c>
      <c r="M71" t="s">
        <v>46</v>
      </c>
      <c r="N71" t="s">
        <v>47</v>
      </c>
      <c r="O71" t="s">
        <v>326</v>
      </c>
      <c r="P71">
        <v>17530067588</v>
      </c>
      <c r="Q71" t="s">
        <v>327</v>
      </c>
      <c r="R71" t="s">
        <v>328</v>
      </c>
      <c r="S71" t="s">
        <v>329</v>
      </c>
      <c r="T71" t="s">
        <v>48</v>
      </c>
      <c r="U71" t="s">
        <v>46</v>
      </c>
      <c r="V71" t="s">
        <v>49</v>
      </c>
      <c r="W71" t="s">
        <v>50</v>
      </c>
      <c r="X71">
        <v>44.81</v>
      </c>
      <c r="Y71">
        <v>3.58</v>
      </c>
      <c r="Z71">
        <v>0</v>
      </c>
      <c r="AA71">
        <v>-6.72</v>
      </c>
      <c r="AB71">
        <v>-0.18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41.49</v>
      </c>
      <c r="AM71">
        <v>0</v>
      </c>
      <c r="AN71">
        <v>0</v>
      </c>
      <c r="AO71">
        <v>44.81</v>
      </c>
      <c r="AP71">
        <v>0</v>
      </c>
      <c r="AQ71">
        <v>0</v>
      </c>
      <c r="AR71">
        <v>589239030</v>
      </c>
    </row>
    <row r="72" spans="1:44" x14ac:dyDescent="0.25">
      <c r="A72" s="1">
        <v>46192.966246053242</v>
      </c>
      <c r="B72" s="2">
        <v>46192</v>
      </c>
      <c r="C72" s="1">
        <v>46192.757912719906</v>
      </c>
      <c r="D72" s="2">
        <v>46192</v>
      </c>
      <c r="E72" s="1">
        <v>46192.727087025465</v>
      </c>
      <c r="F72" s="1">
        <v>46192.736806932873</v>
      </c>
      <c r="G72" s="1">
        <v>46198.471236307872</v>
      </c>
      <c r="H72" s="2">
        <v>46198</v>
      </c>
      <c r="I72">
        <v>11717</v>
      </c>
      <c r="J72" t="s">
        <v>44</v>
      </c>
      <c r="K72">
        <v>241736</v>
      </c>
      <c r="L72" t="s">
        <v>45</v>
      </c>
      <c r="M72" t="s">
        <v>46</v>
      </c>
      <c r="N72" t="s">
        <v>280</v>
      </c>
      <c r="O72" t="s">
        <v>330</v>
      </c>
      <c r="P72">
        <v>17529613072</v>
      </c>
      <c r="Q72" t="s">
        <v>331</v>
      </c>
      <c r="R72" t="s">
        <v>332</v>
      </c>
      <c r="S72" t="s">
        <v>333</v>
      </c>
      <c r="T72" t="s">
        <v>48</v>
      </c>
      <c r="U72" t="s">
        <v>334</v>
      </c>
      <c r="V72" t="s">
        <v>49</v>
      </c>
      <c r="W72" t="s">
        <v>50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-1.62</v>
      </c>
      <c r="AK72">
        <v>0</v>
      </c>
      <c r="AL72">
        <v>-1.62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589239030</v>
      </c>
    </row>
    <row r="73" spans="1:44" x14ac:dyDescent="0.25">
      <c r="A73" s="1">
        <v>46192.945156689813</v>
      </c>
      <c r="B73" s="2">
        <v>46192</v>
      </c>
      <c r="C73" s="1">
        <v>46192.736823356485</v>
      </c>
      <c r="D73" s="2">
        <v>46192</v>
      </c>
      <c r="E73" s="1">
        <v>46192.727087025465</v>
      </c>
      <c r="F73" s="1">
        <v>46192.736806932873</v>
      </c>
      <c r="G73" s="1">
        <v>46198.471236307872</v>
      </c>
      <c r="H73" s="2">
        <v>46198</v>
      </c>
      <c r="I73">
        <v>11717</v>
      </c>
      <c r="J73" t="s">
        <v>44</v>
      </c>
      <c r="K73">
        <v>241736</v>
      </c>
      <c r="L73" t="s">
        <v>45</v>
      </c>
      <c r="M73" t="s">
        <v>46</v>
      </c>
      <c r="N73" t="s">
        <v>47</v>
      </c>
      <c r="O73" t="s">
        <v>330</v>
      </c>
      <c r="P73">
        <v>17529153445</v>
      </c>
      <c r="Q73" t="s">
        <v>331</v>
      </c>
      <c r="R73" t="s">
        <v>332</v>
      </c>
      <c r="S73" t="s">
        <v>333</v>
      </c>
      <c r="T73" t="s">
        <v>48</v>
      </c>
      <c r="U73" t="s">
        <v>46</v>
      </c>
      <c r="V73" t="s">
        <v>49</v>
      </c>
      <c r="W73" t="s">
        <v>50</v>
      </c>
      <c r="X73">
        <v>51.76</v>
      </c>
      <c r="Y73">
        <v>4.1399999999999997</v>
      </c>
      <c r="Z73">
        <v>0</v>
      </c>
      <c r="AA73">
        <v>-7.76</v>
      </c>
      <c r="AB73">
        <v>-0.2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47.94</v>
      </c>
      <c r="AM73">
        <v>0</v>
      </c>
      <c r="AN73">
        <v>0</v>
      </c>
      <c r="AO73">
        <v>51.76</v>
      </c>
      <c r="AP73">
        <v>0</v>
      </c>
      <c r="AQ73">
        <v>0</v>
      </c>
      <c r="AR73">
        <v>589239030</v>
      </c>
    </row>
    <row r="74" spans="1:44" x14ac:dyDescent="0.25">
      <c r="A74" s="1">
        <v>46192.849699317128</v>
      </c>
      <c r="B74" s="2">
        <v>46192</v>
      </c>
      <c r="C74" s="1">
        <v>46192.6413659838</v>
      </c>
      <c r="D74" s="2">
        <v>46192</v>
      </c>
      <c r="E74" s="1">
        <v>46192.632459629633</v>
      </c>
      <c r="F74" s="1">
        <v>46192.641353344909</v>
      </c>
      <c r="G74" s="1">
        <v>46198.471236307872</v>
      </c>
      <c r="H74" s="2">
        <v>46198</v>
      </c>
      <c r="I74">
        <v>11717</v>
      </c>
      <c r="J74" t="s">
        <v>44</v>
      </c>
      <c r="K74">
        <v>241736</v>
      </c>
      <c r="L74" t="s">
        <v>45</v>
      </c>
      <c r="M74" t="s">
        <v>46</v>
      </c>
      <c r="N74" t="s">
        <v>47</v>
      </c>
      <c r="O74" t="s">
        <v>335</v>
      </c>
      <c r="P74">
        <v>17527433892</v>
      </c>
      <c r="Q74" t="s">
        <v>336</v>
      </c>
      <c r="R74" t="s">
        <v>337</v>
      </c>
      <c r="S74" t="s">
        <v>338</v>
      </c>
      <c r="T74" t="s">
        <v>48</v>
      </c>
      <c r="U74" t="s">
        <v>46</v>
      </c>
      <c r="V74" t="s">
        <v>49</v>
      </c>
      <c r="W74" t="s">
        <v>50</v>
      </c>
      <c r="X74">
        <v>40.46</v>
      </c>
      <c r="Y74">
        <v>2.6</v>
      </c>
      <c r="Z74">
        <v>0</v>
      </c>
      <c r="AA74">
        <v>-4.87</v>
      </c>
      <c r="AB74">
        <v>-0.13</v>
      </c>
      <c r="AC74">
        <v>0</v>
      </c>
      <c r="AD74">
        <v>0</v>
      </c>
      <c r="AE74">
        <v>-8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30.06</v>
      </c>
      <c r="AM74">
        <v>0</v>
      </c>
      <c r="AN74">
        <v>0</v>
      </c>
      <c r="AO74">
        <v>32.46</v>
      </c>
      <c r="AP74">
        <v>0</v>
      </c>
      <c r="AQ74">
        <v>0</v>
      </c>
      <c r="AR74">
        <v>589239030</v>
      </c>
    </row>
    <row r="75" spans="1:44" x14ac:dyDescent="0.25">
      <c r="A75" s="1">
        <v>46192.772851423608</v>
      </c>
      <c r="B75" s="2">
        <v>46192</v>
      </c>
      <c r="C75" s="1">
        <v>46192.564518090279</v>
      </c>
      <c r="D75" s="2">
        <v>46192</v>
      </c>
      <c r="E75" s="1">
        <v>46192.552749641203</v>
      </c>
      <c r="F75" s="1">
        <v>46192.564505798611</v>
      </c>
      <c r="G75" s="1">
        <v>46198.471236307872</v>
      </c>
      <c r="H75" s="2">
        <v>46198</v>
      </c>
      <c r="I75">
        <v>11717</v>
      </c>
      <c r="J75" t="s">
        <v>44</v>
      </c>
      <c r="K75">
        <v>241736</v>
      </c>
      <c r="L75" t="s">
        <v>45</v>
      </c>
      <c r="M75" t="s">
        <v>46</v>
      </c>
      <c r="N75" t="s">
        <v>47</v>
      </c>
      <c r="O75" t="s">
        <v>339</v>
      </c>
      <c r="P75">
        <v>17526213121</v>
      </c>
      <c r="Q75" t="s">
        <v>340</v>
      </c>
      <c r="R75" t="s">
        <v>341</v>
      </c>
      <c r="S75" t="s">
        <v>342</v>
      </c>
      <c r="T75" t="s">
        <v>48</v>
      </c>
      <c r="U75" t="s">
        <v>46</v>
      </c>
      <c r="V75" t="s">
        <v>49</v>
      </c>
      <c r="W75" t="s">
        <v>50</v>
      </c>
      <c r="X75">
        <v>30.73</v>
      </c>
      <c r="Y75">
        <v>1.82</v>
      </c>
      <c r="Z75">
        <v>0</v>
      </c>
      <c r="AA75">
        <v>-3.41</v>
      </c>
      <c r="AB75">
        <v>-0.09</v>
      </c>
      <c r="AC75">
        <v>0</v>
      </c>
      <c r="AD75">
        <v>0</v>
      </c>
      <c r="AE75">
        <v>-8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21.05</v>
      </c>
      <c r="AM75">
        <v>0</v>
      </c>
      <c r="AN75">
        <v>0</v>
      </c>
      <c r="AO75">
        <v>22.73</v>
      </c>
      <c r="AP75">
        <v>0</v>
      </c>
      <c r="AQ75">
        <v>0</v>
      </c>
      <c r="AR75">
        <v>589239030</v>
      </c>
    </row>
    <row r="76" spans="1:44" x14ac:dyDescent="0.25">
      <c r="A76" s="1">
        <v>46192.721877928241</v>
      </c>
      <c r="B76" s="2">
        <v>46192</v>
      </c>
      <c r="C76" s="1">
        <v>46192.513544594905</v>
      </c>
      <c r="D76" s="2">
        <v>46192</v>
      </c>
      <c r="E76" s="1">
        <v>46192.506218148148</v>
      </c>
      <c r="F76" s="1">
        <v>46192.513531898148</v>
      </c>
      <c r="G76" s="1">
        <v>46198.471236307872</v>
      </c>
      <c r="H76" s="2">
        <v>46198</v>
      </c>
      <c r="I76">
        <v>11717</v>
      </c>
      <c r="J76" t="s">
        <v>44</v>
      </c>
      <c r="K76">
        <v>241736</v>
      </c>
      <c r="L76" t="s">
        <v>45</v>
      </c>
      <c r="M76" t="s">
        <v>46</v>
      </c>
      <c r="N76" t="s">
        <v>47</v>
      </c>
      <c r="O76" t="s">
        <v>343</v>
      </c>
      <c r="P76">
        <v>17525377469</v>
      </c>
      <c r="Q76">
        <v>12037069</v>
      </c>
      <c r="R76" t="s">
        <v>344</v>
      </c>
      <c r="S76" t="s">
        <v>345</v>
      </c>
      <c r="T76" t="s">
        <v>48</v>
      </c>
      <c r="U76" t="s">
        <v>46</v>
      </c>
      <c r="V76" t="s">
        <v>49</v>
      </c>
      <c r="W76" t="s">
        <v>50</v>
      </c>
      <c r="X76">
        <v>3.99</v>
      </c>
      <c r="Y76">
        <v>0.32</v>
      </c>
      <c r="Z76">
        <v>0</v>
      </c>
      <c r="AA76">
        <v>-0.6</v>
      </c>
      <c r="AB76">
        <v>-0.02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3.69</v>
      </c>
      <c r="AM76">
        <v>0</v>
      </c>
      <c r="AN76">
        <v>0</v>
      </c>
      <c r="AO76">
        <v>3.99</v>
      </c>
      <c r="AP76">
        <v>0</v>
      </c>
      <c r="AQ76">
        <v>0</v>
      </c>
      <c r="AR76">
        <v>589239030</v>
      </c>
    </row>
    <row r="77" spans="1:44" x14ac:dyDescent="0.25">
      <c r="A77" s="1">
        <v>46192.721691030092</v>
      </c>
      <c r="B77" s="2">
        <v>46192</v>
      </c>
      <c r="C77" s="1">
        <v>46192.513357696756</v>
      </c>
      <c r="D77" s="2">
        <v>46192</v>
      </c>
      <c r="E77" s="1">
        <v>46192.505232858799</v>
      </c>
      <c r="F77" s="1">
        <v>46192.513345671294</v>
      </c>
      <c r="G77" s="1">
        <v>46198.471236307872</v>
      </c>
      <c r="H77" s="2">
        <v>46198</v>
      </c>
      <c r="I77">
        <v>11717</v>
      </c>
      <c r="J77" t="s">
        <v>44</v>
      </c>
      <c r="K77">
        <v>241736</v>
      </c>
      <c r="L77" t="s">
        <v>45</v>
      </c>
      <c r="M77" t="s">
        <v>46</v>
      </c>
      <c r="N77" t="s">
        <v>47</v>
      </c>
      <c r="O77" t="s">
        <v>346</v>
      </c>
      <c r="P77">
        <v>17525374650</v>
      </c>
      <c r="Q77" t="s">
        <v>347</v>
      </c>
      <c r="R77" t="s">
        <v>348</v>
      </c>
      <c r="S77" t="s">
        <v>349</v>
      </c>
      <c r="T77" t="s">
        <v>48</v>
      </c>
      <c r="U77" t="s">
        <v>46</v>
      </c>
      <c r="V77" t="s">
        <v>49</v>
      </c>
      <c r="W77" t="s">
        <v>50</v>
      </c>
      <c r="X77">
        <v>44.67</v>
      </c>
      <c r="Y77">
        <v>3.57</v>
      </c>
      <c r="Z77">
        <v>0</v>
      </c>
      <c r="AA77">
        <v>-6.7</v>
      </c>
      <c r="AB77">
        <v>-0.18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41.36</v>
      </c>
      <c r="AM77">
        <v>0</v>
      </c>
      <c r="AN77">
        <v>0</v>
      </c>
      <c r="AO77">
        <v>44.67</v>
      </c>
      <c r="AP77">
        <v>0</v>
      </c>
      <c r="AQ77">
        <v>0</v>
      </c>
      <c r="AR77">
        <v>589239030</v>
      </c>
    </row>
    <row r="78" spans="1:44" x14ac:dyDescent="0.25">
      <c r="A78" s="1">
        <v>46192.674831805554</v>
      </c>
      <c r="B78" s="2">
        <v>46192</v>
      </c>
      <c r="C78" s="1">
        <v>46192.466498472226</v>
      </c>
      <c r="D78" s="2">
        <v>46192</v>
      </c>
      <c r="E78" s="1">
        <v>46192.449095393516</v>
      </c>
      <c r="F78" s="1">
        <v>46192.466488923608</v>
      </c>
      <c r="G78" s="1">
        <v>46198.471236307872</v>
      </c>
      <c r="H78" s="2">
        <v>46198</v>
      </c>
      <c r="I78">
        <v>11717</v>
      </c>
      <c r="J78" t="s">
        <v>44</v>
      </c>
      <c r="K78">
        <v>241736</v>
      </c>
      <c r="L78" t="s">
        <v>45</v>
      </c>
      <c r="M78" t="s">
        <v>46</v>
      </c>
      <c r="N78" t="s">
        <v>47</v>
      </c>
      <c r="O78" t="s">
        <v>350</v>
      </c>
      <c r="P78">
        <v>17524643513</v>
      </c>
      <c r="Q78" t="s">
        <v>351</v>
      </c>
      <c r="R78" t="s">
        <v>352</v>
      </c>
      <c r="S78" t="s">
        <v>353</v>
      </c>
      <c r="T78" t="s">
        <v>48</v>
      </c>
      <c r="U78" t="s">
        <v>46</v>
      </c>
      <c r="V78" t="s">
        <v>51</v>
      </c>
      <c r="W78" t="s">
        <v>50</v>
      </c>
      <c r="X78">
        <v>48.96</v>
      </c>
      <c r="Y78">
        <v>3.92</v>
      </c>
      <c r="Z78">
        <v>7.93</v>
      </c>
      <c r="AA78">
        <v>-2.94</v>
      </c>
      <c r="AB78">
        <v>-0.19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57.68</v>
      </c>
      <c r="AM78">
        <v>0</v>
      </c>
      <c r="AN78">
        <v>0</v>
      </c>
      <c r="AO78">
        <v>48.96</v>
      </c>
      <c r="AP78">
        <v>0</v>
      </c>
      <c r="AQ78">
        <v>0</v>
      </c>
      <c r="AR78">
        <v>589239030</v>
      </c>
    </row>
    <row r="79" spans="1:44" x14ac:dyDescent="0.25">
      <c r="A79" s="1">
        <v>46192.048544282407</v>
      </c>
      <c r="B79" s="2">
        <v>46192</v>
      </c>
      <c r="C79" s="1">
        <v>46191.840210949071</v>
      </c>
      <c r="D79" s="2">
        <v>46191</v>
      </c>
      <c r="E79" s="1">
        <v>46191.82634939815</v>
      </c>
      <c r="F79" s="1">
        <v>46191.840197662037</v>
      </c>
      <c r="G79" s="1">
        <v>46198.471236307872</v>
      </c>
      <c r="H79" s="2">
        <v>46198</v>
      </c>
      <c r="I79">
        <v>11717</v>
      </c>
      <c r="J79" t="s">
        <v>44</v>
      </c>
      <c r="K79">
        <v>241736</v>
      </c>
      <c r="L79" t="s">
        <v>45</v>
      </c>
      <c r="M79" t="s">
        <v>46</v>
      </c>
      <c r="N79" t="s">
        <v>47</v>
      </c>
      <c r="O79" t="s">
        <v>354</v>
      </c>
      <c r="P79">
        <v>17519628077</v>
      </c>
      <c r="Q79" t="s">
        <v>355</v>
      </c>
      <c r="R79" t="s">
        <v>356</v>
      </c>
      <c r="S79" t="s">
        <v>357</v>
      </c>
      <c r="T79" t="s">
        <v>48</v>
      </c>
      <c r="U79" t="s">
        <v>46</v>
      </c>
      <c r="V79" t="s">
        <v>49</v>
      </c>
      <c r="W79" t="s">
        <v>50</v>
      </c>
      <c r="X79">
        <v>11.74</v>
      </c>
      <c r="Y79">
        <v>0.94</v>
      </c>
      <c r="Z79">
        <v>0</v>
      </c>
      <c r="AA79">
        <v>-1.76</v>
      </c>
      <c r="AB79">
        <v>-0.05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10.87</v>
      </c>
      <c r="AM79">
        <v>0</v>
      </c>
      <c r="AN79">
        <v>0</v>
      </c>
      <c r="AO79">
        <v>11.74</v>
      </c>
      <c r="AP79">
        <v>0</v>
      </c>
      <c r="AQ79">
        <v>0</v>
      </c>
      <c r="AR79">
        <v>589239030</v>
      </c>
    </row>
    <row r="80" spans="1:44" x14ac:dyDescent="0.25">
      <c r="A80" s="1">
        <v>46192.010750729169</v>
      </c>
      <c r="B80" s="2">
        <v>46192</v>
      </c>
      <c r="C80" s="1">
        <v>46191.802417395833</v>
      </c>
      <c r="D80" s="2">
        <v>46191</v>
      </c>
      <c r="E80" s="1">
        <v>46191.784194155094</v>
      </c>
      <c r="F80" s="1">
        <v>46191.802402488429</v>
      </c>
      <c r="G80" s="1">
        <v>46198.471236307872</v>
      </c>
      <c r="H80" s="2">
        <v>46198</v>
      </c>
      <c r="I80">
        <v>11717</v>
      </c>
      <c r="J80" t="s">
        <v>44</v>
      </c>
      <c r="K80">
        <v>241736</v>
      </c>
      <c r="L80" t="s">
        <v>45</v>
      </c>
      <c r="M80" t="s">
        <v>46</v>
      </c>
      <c r="N80" t="s">
        <v>47</v>
      </c>
      <c r="O80" t="s">
        <v>358</v>
      </c>
      <c r="P80">
        <v>17518770272</v>
      </c>
      <c r="Q80" t="s">
        <v>359</v>
      </c>
      <c r="R80" t="s">
        <v>360</v>
      </c>
      <c r="S80" t="s">
        <v>361</v>
      </c>
      <c r="T80" t="s">
        <v>48</v>
      </c>
      <c r="U80" t="s">
        <v>46</v>
      </c>
      <c r="V80" t="s">
        <v>49</v>
      </c>
      <c r="W80" t="s">
        <v>50</v>
      </c>
      <c r="X80">
        <v>33.950000000000003</v>
      </c>
      <c r="Y80">
        <v>2.72</v>
      </c>
      <c r="Z80">
        <v>0</v>
      </c>
      <c r="AA80">
        <v>-5.09</v>
      </c>
      <c r="AB80">
        <v>-0.13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31.45</v>
      </c>
      <c r="AM80">
        <v>0</v>
      </c>
      <c r="AN80">
        <v>0</v>
      </c>
      <c r="AO80">
        <v>33.950000000000003</v>
      </c>
      <c r="AP80">
        <v>0</v>
      </c>
      <c r="AQ80">
        <v>0</v>
      </c>
      <c r="AR80">
        <v>589239030</v>
      </c>
    </row>
    <row r="81" spans="1:44" x14ac:dyDescent="0.25">
      <c r="A81" s="1">
        <v>46191.99337802083</v>
      </c>
      <c r="B81" s="2">
        <v>46191</v>
      </c>
      <c r="C81" s="1">
        <v>46191.785044687502</v>
      </c>
      <c r="D81" s="2">
        <v>46191</v>
      </c>
      <c r="E81" s="1">
        <v>46191.770624583332</v>
      </c>
      <c r="F81" s="1">
        <v>46191.785028749997</v>
      </c>
      <c r="G81" s="1">
        <v>46198.471236307872</v>
      </c>
      <c r="H81" s="2">
        <v>46198</v>
      </c>
      <c r="I81">
        <v>11717</v>
      </c>
      <c r="J81" t="s">
        <v>44</v>
      </c>
      <c r="K81">
        <v>241736</v>
      </c>
      <c r="L81" t="s">
        <v>45</v>
      </c>
      <c r="M81" t="s">
        <v>46</v>
      </c>
      <c r="N81" t="s">
        <v>47</v>
      </c>
      <c r="O81" t="s">
        <v>362</v>
      </c>
      <c r="P81">
        <v>17518370420</v>
      </c>
      <c r="Q81" t="s">
        <v>363</v>
      </c>
      <c r="R81" t="s">
        <v>364</v>
      </c>
      <c r="S81" t="s">
        <v>365</v>
      </c>
      <c r="T81" t="s">
        <v>48</v>
      </c>
      <c r="U81" t="s">
        <v>46</v>
      </c>
      <c r="V81" t="s">
        <v>49</v>
      </c>
      <c r="W81" t="s">
        <v>50</v>
      </c>
      <c r="X81">
        <v>42.06</v>
      </c>
      <c r="Y81">
        <v>3.36</v>
      </c>
      <c r="Z81">
        <v>0</v>
      </c>
      <c r="AA81">
        <v>-6.31</v>
      </c>
      <c r="AB81">
        <v>-0.17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38.94</v>
      </c>
      <c r="AM81">
        <v>0</v>
      </c>
      <c r="AN81">
        <v>0</v>
      </c>
      <c r="AO81">
        <v>42.06</v>
      </c>
      <c r="AP81">
        <v>0</v>
      </c>
      <c r="AQ81">
        <v>0</v>
      </c>
      <c r="AR81">
        <v>589239030</v>
      </c>
    </row>
    <row r="82" spans="1:44" x14ac:dyDescent="0.25">
      <c r="A82" s="1">
        <v>46191.742297546298</v>
      </c>
      <c r="B82" s="2">
        <v>46191</v>
      </c>
      <c r="C82" s="1">
        <v>46191.533964212962</v>
      </c>
      <c r="D82" s="2">
        <v>46191</v>
      </c>
      <c r="E82" s="1">
        <v>46191.522154224534</v>
      </c>
      <c r="F82" s="1">
        <v>46191.533952048609</v>
      </c>
      <c r="G82" s="1">
        <v>46198.471236307872</v>
      </c>
      <c r="H82" s="2">
        <v>46198</v>
      </c>
      <c r="I82">
        <v>11717</v>
      </c>
      <c r="J82" t="s">
        <v>44</v>
      </c>
      <c r="K82">
        <v>241736</v>
      </c>
      <c r="L82" t="s">
        <v>45</v>
      </c>
      <c r="M82" t="s">
        <v>46</v>
      </c>
      <c r="N82" t="s">
        <v>47</v>
      </c>
      <c r="O82" t="s">
        <v>366</v>
      </c>
      <c r="P82">
        <v>17513995919</v>
      </c>
      <c r="Q82" t="s">
        <v>367</v>
      </c>
      <c r="R82" t="s">
        <v>368</v>
      </c>
      <c r="S82" t="s">
        <v>369</v>
      </c>
      <c r="T82" t="s">
        <v>48</v>
      </c>
      <c r="U82" t="s">
        <v>46</v>
      </c>
      <c r="V82" t="s">
        <v>49</v>
      </c>
      <c r="W82" t="s">
        <v>50</v>
      </c>
      <c r="X82">
        <v>17.18</v>
      </c>
      <c r="Y82">
        <v>0.73</v>
      </c>
      <c r="Z82">
        <v>0</v>
      </c>
      <c r="AA82">
        <v>-1.38</v>
      </c>
      <c r="AB82">
        <v>-0.04</v>
      </c>
      <c r="AC82">
        <v>0</v>
      </c>
      <c r="AD82">
        <v>0</v>
      </c>
      <c r="AE82">
        <v>-8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8.49</v>
      </c>
      <c r="AM82">
        <v>0</v>
      </c>
      <c r="AN82">
        <v>0</v>
      </c>
      <c r="AO82">
        <v>9.18</v>
      </c>
      <c r="AP82">
        <v>0</v>
      </c>
      <c r="AQ82">
        <v>0</v>
      </c>
      <c r="AR82">
        <v>589239030</v>
      </c>
    </row>
    <row r="83" spans="1:44" x14ac:dyDescent="0.25">
      <c r="A83" s="1">
        <v>46190.954283634259</v>
      </c>
      <c r="B83" s="2">
        <v>46190</v>
      </c>
      <c r="C83" s="1">
        <v>46190.745950300923</v>
      </c>
      <c r="D83" s="2">
        <v>46190</v>
      </c>
      <c r="E83" s="1">
        <v>46190.737017962965</v>
      </c>
      <c r="F83" s="1">
        <v>46190.745935925923</v>
      </c>
      <c r="G83" s="1">
        <v>46198.471236307872</v>
      </c>
      <c r="H83" s="2">
        <v>46198</v>
      </c>
      <c r="I83">
        <v>11717</v>
      </c>
      <c r="J83" t="s">
        <v>44</v>
      </c>
      <c r="K83">
        <v>241736</v>
      </c>
      <c r="L83" t="s">
        <v>45</v>
      </c>
      <c r="M83" t="s">
        <v>46</v>
      </c>
      <c r="N83" t="s">
        <v>47</v>
      </c>
      <c r="O83" t="s">
        <v>370</v>
      </c>
      <c r="P83">
        <v>17506125627</v>
      </c>
      <c r="Q83" t="s">
        <v>371</v>
      </c>
      <c r="R83" s="3" t="s">
        <v>372</v>
      </c>
      <c r="S83" t="s">
        <v>373</v>
      </c>
      <c r="T83" t="s">
        <v>48</v>
      </c>
      <c r="U83" t="s">
        <v>46</v>
      </c>
      <c r="V83" t="s">
        <v>49</v>
      </c>
      <c r="W83" t="s">
        <v>50</v>
      </c>
      <c r="X83">
        <v>48.06</v>
      </c>
      <c r="Y83">
        <v>3.2</v>
      </c>
      <c r="Z83">
        <v>0</v>
      </c>
      <c r="AA83">
        <v>-6.01</v>
      </c>
      <c r="AB83">
        <v>-0.16</v>
      </c>
      <c r="AC83">
        <v>0</v>
      </c>
      <c r="AD83">
        <v>0</v>
      </c>
      <c r="AE83">
        <v>-8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37.090000000000003</v>
      </c>
      <c r="AM83">
        <v>0</v>
      </c>
      <c r="AN83">
        <v>0</v>
      </c>
      <c r="AO83">
        <v>40.06</v>
      </c>
      <c r="AP83">
        <v>0</v>
      </c>
      <c r="AQ83">
        <v>0</v>
      </c>
      <c r="AR83">
        <v>589239030</v>
      </c>
    </row>
    <row r="84" spans="1:44" x14ac:dyDescent="0.25">
      <c r="A84" s="1">
        <v>46190.932175740738</v>
      </c>
      <c r="B84" s="2">
        <v>46190</v>
      </c>
      <c r="C84" s="1">
        <v>46190.723842407409</v>
      </c>
      <c r="D84" s="2">
        <v>46190</v>
      </c>
      <c r="E84" s="1">
        <v>46190.71668834491</v>
      </c>
      <c r="F84" s="1">
        <v>46190.723829513889</v>
      </c>
      <c r="G84" s="1">
        <v>46198.471236307872</v>
      </c>
      <c r="H84" s="2">
        <v>46198</v>
      </c>
      <c r="I84">
        <v>11717</v>
      </c>
      <c r="J84" t="s">
        <v>44</v>
      </c>
      <c r="K84">
        <v>241736</v>
      </c>
      <c r="L84" t="s">
        <v>45</v>
      </c>
      <c r="M84" t="s">
        <v>46</v>
      </c>
      <c r="N84" t="s">
        <v>47</v>
      </c>
      <c r="O84" t="s">
        <v>374</v>
      </c>
      <c r="P84">
        <v>17505675374</v>
      </c>
      <c r="Q84" s="3" t="s">
        <v>375</v>
      </c>
      <c r="R84" t="s">
        <v>376</v>
      </c>
      <c r="S84" t="s">
        <v>377</v>
      </c>
      <c r="T84" t="s">
        <v>48</v>
      </c>
      <c r="U84" t="s">
        <v>46</v>
      </c>
      <c r="V84" t="s">
        <v>49</v>
      </c>
      <c r="W84" t="s">
        <v>50</v>
      </c>
      <c r="X84">
        <v>28.23</v>
      </c>
      <c r="Y84">
        <v>2.2599999999999998</v>
      </c>
      <c r="Z84">
        <v>0</v>
      </c>
      <c r="AA84">
        <v>-4.2300000000000004</v>
      </c>
      <c r="AB84">
        <v>-0.11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26.15</v>
      </c>
      <c r="AM84">
        <v>0</v>
      </c>
      <c r="AN84">
        <v>0</v>
      </c>
      <c r="AO84">
        <v>28.23</v>
      </c>
      <c r="AP84">
        <v>0</v>
      </c>
      <c r="AQ84">
        <v>0</v>
      </c>
      <c r="AR84">
        <v>589239030</v>
      </c>
    </row>
    <row r="85" spans="1:44" x14ac:dyDescent="0.25">
      <c r="A85" s="1">
        <v>46190.920404490738</v>
      </c>
      <c r="B85" s="2">
        <v>46190</v>
      </c>
      <c r="C85" s="1">
        <v>46190.71207115741</v>
      </c>
      <c r="D85" s="2">
        <v>46190</v>
      </c>
      <c r="E85" s="1">
        <v>46190.702095057874</v>
      </c>
      <c r="F85" s="1">
        <v>46190.71205584491</v>
      </c>
      <c r="G85" s="1">
        <v>46198.471236307872</v>
      </c>
      <c r="H85" s="2">
        <v>46198</v>
      </c>
      <c r="I85">
        <v>11717</v>
      </c>
      <c r="J85" t="s">
        <v>44</v>
      </c>
      <c r="K85">
        <v>241736</v>
      </c>
      <c r="L85" t="s">
        <v>45</v>
      </c>
      <c r="M85" t="s">
        <v>46</v>
      </c>
      <c r="N85" t="s">
        <v>47</v>
      </c>
      <c r="O85" t="s">
        <v>378</v>
      </c>
      <c r="P85">
        <v>17505465992</v>
      </c>
      <c r="Q85" t="s">
        <v>379</v>
      </c>
      <c r="R85" t="s">
        <v>380</v>
      </c>
      <c r="S85" t="s">
        <v>381</v>
      </c>
      <c r="T85" t="s">
        <v>48</v>
      </c>
      <c r="U85" t="s">
        <v>46</v>
      </c>
      <c r="V85" t="s">
        <v>49</v>
      </c>
      <c r="W85" t="s">
        <v>50</v>
      </c>
      <c r="X85">
        <v>33.47</v>
      </c>
      <c r="Y85">
        <v>2.68</v>
      </c>
      <c r="Z85">
        <v>0</v>
      </c>
      <c r="AA85">
        <v>-5.0199999999999996</v>
      </c>
      <c r="AB85">
        <v>-0.13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31</v>
      </c>
      <c r="AM85">
        <v>0</v>
      </c>
      <c r="AN85">
        <v>0</v>
      </c>
      <c r="AO85">
        <v>33.47</v>
      </c>
      <c r="AP85">
        <v>0</v>
      </c>
      <c r="AQ85">
        <v>0</v>
      </c>
      <c r="AR85">
        <v>589239030</v>
      </c>
    </row>
    <row r="86" spans="1:44" x14ac:dyDescent="0.25">
      <c r="A86" s="1">
        <v>46190.68473306713</v>
      </c>
      <c r="B86" s="2">
        <v>46190</v>
      </c>
      <c r="C86" s="1">
        <v>46190.476399733794</v>
      </c>
      <c r="D86" s="2">
        <v>46190</v>
      </c>
      <c r="E86" s="1">
        <v>46190.469804502318</v>
      </c>
      <c r="F86" s="1">
        <v>46190.476386886578</v>
      </c>
      <c r="G86" s="1">
        <v>46198.471236307872</v>
      </c>
      <c r="H86" s="2">
        <v>46198</v>
      </c>
      <c r="I86">
        <v>11717</v>
      </c>
      <c r="J86" t="s">
        <v>44</v>
      </c>
      <c r="K86">
        <v>241736</v>
      </c>
      <c r="L86" t="s">
        <v>45</v>
      </c>
      <c r="M86" t="s">
        <v>46</v>
      </c>
      <c r="N86" t="s">
        <v>47</v>
      </c>
      <c r="O86" t="s">
        <v>382</v>
      </c>
      <c r="P86">
        <v>17501815895</v>
      </c>
      <c r="Q86" t="s">
        <v>383</v>
      </c>
      <c r="R86" t="s">
        <v>384</v>
      </c>
      <c r="S86" t="s">
        <v>385</v>
      </c>
      <c r="T86" t="s">
        <v>48</v>
      </c>
      <c r="U86" t="s">
        <v>46</v>
      </c>
      <c r="V86" t="s">
        <v>49</v>
      </c>
      <c r="W86" t="s">
        <v>50</v>
      </c>
      <c r="X86">
        <v>13.49</v>
      </c>
      <c r="Y86">
        <v>1.08</v>
      </c>
      <c r="Z86">
        <v>0</v>
      </c>
      <c r="AA86">
        <v>-2.02</v>
      </c>
      <c r="AB86">
        <v>-0.05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12.5</v>
      </c>
      <c r="AM86">
        <v>0</v>
      </c>
      <c r="AN86">
        <v>0</v>
      </c>
      <c r="AO86">
        <v>13.49</v>
      </c>
      <c r="AP86">
        <v>0</v>
      </c>
      <c r="AQ86">
        <v>0</v>
      </c>
      <c r="AR86">
        <v>589239030</v>
      </c>
    </row>
    <row r="87" spans="1:44" x14ac:dyDescent="0.25">
      <c r="A87" s="1">
        <v>46189.999599027775</v>
      </c>
      <c r="B87" s="2">
        <v>46189</v>
      </c>
      <c r="C87" s="1">
        <v>46189.791265694446</v>
      </c>
      <c r="D87" s="2">
        <v>46189</v>
      </c>
      <c r="E87" s="1">
        <v>46189.783127986113</v>
      </c>
      <c r="F87" s="1">
        <v>46189.79125628472</v>
      </c>
      <c r="G87" s="1">
        <v>46198.471236307872</v>
      </c>
      <c r="H87" s="2">
        <v>46198</v>
      </c>
      <c r="I87">
        <v>11717</v>
      </c>
      <c r="J87" t="s">
        <v>44</v>
      </c>
      <c r="K87">
        <v>241736</v>
      </c>
      <c r="L87" t="s">
        <v>45</v>
      </c>
      <c r="M87" t="s">
        <v>46</v>
      </c>
      <c r="N87" t="s">
        <v>47</v>
      </c>
      <c r="O87" t="s">
        <v>386</v>
      </c>
      <c r="P87">
        <v>17496222865</v>
      </c>
      <c r="Q87" t="s">
        <v>387</v>
      </c>
      <c r="R87" t="s">
        <v>388</v>
      </c>
      <c r="S87" t="s">
        <v>389</v>
      </c>
      <c r="T87" t="s">
        <v>48</v>
      </c>
      <c r="U87" t="s">
        <v>46</v>
      </c>
      <c r="V87" t="s">
        <v>51</v>
      </c>
      <c r="W87" t="s">
        <v>50</v>
      </c>
      <c r="X87">
        <v>28.08</v>
      </c>
      <c r="Y87">
        <v>2.25</v>
      </c>
      <c r="Z87">
        <v>0</v>
      </c>
      <c r="AA87">
        <v>-1.68</v>
      </c>
      <c r="AB87">
        <v>-0.11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28.54</v>
      </c>
      <c r="AM87">
        <v>0</v>
      </c>
      <c r="AN87">
        <v>0</v>
      </c>
      <c r="AO87">
        <v>28.08</v>
      </c>
      <c r="AP87">
        <v>0</v>
      </c>
      <c r="AQ87">
        <v>0</v>
      </c>
      <c r="AR87">
        <v>589239030</v>
      </c>
    </row>
    <row r="88" spans="1:44" x14ac:dyDescent="0.25">
      <c r="A88" s="1">
        <v>46189.991117152778</v>
      </c>
      <c r="B88" s="2">
        <v>46189</v>
      </c>
      <c r="C88" s="1">
        <v>46189.782783819443</v>
      </c>
      <c r="D88" s="2">
        <v>46189</v>
      </c>
      <c r="E88" s="1">
        <v>46189.766452222226</v>
      </c>
      <c r="F88" s="1">
        <v>46189.782769212965</v>
      </c>
      <c r="G88" s="1">
        <v>46198.471236307872</v>
      </c>
      <c r="H88" s="2">
        <v>46198</v>
      </c>
      <c r="I88">
        <v>11717</v>
      </c>
      <c r="J88" t="s">
        <v>44</v>
      </c>
      <c r="K88">
        <v>241736</v>
      </c>
      <c r="L88" t="s">
        <v>45</v>
      </c>
      <c r="M88" t="s">
        <v>46</v>
      </c>
      <c r="N88" t="s">
        <v>47</v>
      </c>
      <c r="O88" t="s">
        <v>390</v>
      </c>
      <c r="P88">
        <v>17496052554</v>
      </c>
      <c r="Q88" t="s">
        <v>391</v>
      </c>
      <c r="R88" t="s">
        <v>392</v>
      </c>
      <c r="S88" t="s">
        <v>393</v>
      </c>
      <c r="T88" t="s">
        <v>48</v>
      </c>
      <c r="U88" t="s">
        <v>46</v>
      </c>
      <c r="V88" t="s">
        <v>49</v>
      </c>
      <c r="W88" t="s">
        <v>50</v>
      </c>
      <c r="X88">
        <v>17.09</v>
      </c>
      <c r="Y88">
        <v>1.37</v>
      </c>
      <c r="Z88">
        <v>0</v>
      </c>
      <c r="AA88">
        <v>-2.56</v>
      </c>
      <c r="AB88">
        <v>-7.0000000000000007E-2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15.83</v>
      </c>
      <c r="AM88">
        <v>0</v>
      </c>
      <c r="AN88">
        <v>0</v>
      </c>
      <c r="AO88">
        <v>17.09</v>
      </c>
      <c r="AP88">
        <v>0</v>
      </c>
      <c r="AQ88">
        <v>0</v>
      </c>
      <c r="AR88">
        <v>589239030</v>
      </c>
    </row>
    <row r="89" spans="1:44" x14ac:dyDescent="0.25">
      <c r="A89" s="1">
        <v>46189.742918356482</v>
      </c>
      <c r="B89" s="2">
        <v>46189</v>
      </c>
      <c r="C89" s="1">
        <v>46189.534585023146</v>
      </c>
      <c r="D89" s="2">
        <v>46189</v>
      </c>
      <c r="E89" s="1">
        <v>46189.52953965278</v>
      </c>
      <c r="F89" s="1">
        <v>46189.534574398145</v>
      </c>
      <c r="G89" s="1">
        <v>46198.471236307872</v>
      </c>
      <c r="H89" s="2">
        <v>46198</v>
      </c>
      <c r="I89">
        <v>11717</v>
      </c>
      <c r="J89" t="s">
        <v>44</v>
      </c>
      <c r="K89">
        <v>241736</v>
      </c>
      <c r="L89" t="s">
        <v>45</v>
      </c>
      <c r="M89" t="s">
        <v>46</v>
      </c>
      <c r="N89" t="s">
        <v>47</v>
      </c>
      <c r="O89" t="s">
        <v>394</v>
      </c>
      <c r="P89">
        <v>17492036206</v>
      </c>
      <c r="Q89" t="s">
        <v>395</v>
      </c>
      <c r="R89" t="s">
        <v>396</v>
      </c>
      <c r="S89" t="s">
        <v>397</v>
      </c>
      <c r="T89" t="s">
        <v>48</v>
      </c>
      <c r="U89" t="s">
        <v>46</v>
      </c>
      <c r="V89" t="s">
        <v>49</v>
      </c>
      <c r="W89" t="s">
        <v>50</v>
      </c>
      <c r="X89">
        <v>13.98</v>
      </c>
      <c r="Y89">
        <v>1.1200000000000001</v>
      </c>
      <c r="Z89">
        <v>0</v>
      </c>
      <c r="AA89">
        <v>-2.1</v>
      </c>
      <c r="AB89">
        <v>-0.05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12.95</v>
      </c>
      <c r="AM89">
        <v>0</v>
      </c>
      <c r="AN89">
        <v>0</v>
      </c>
      <c r="AO89">
        <v>13.98</v>
      </c>
      <c r="AP89">
        <v>0</v>
      </c>
      <c r="AQ89">
        <v>0</v>
      </c>
      <c r="AR89">
        <v>589239030</v>
      </c>
    </row>
    <row r="90" spans="1:44" x14ac:dyDescent="0.25">
      <c r="A90" s="1">
        <v>46189.007022060185</v>
      </c>
      <c r="B90" s="2">
        <v>46189</v>
      </c>
      <c r="C90" s="1">
        <v>46188.798688726849</v>
      </c>
      <c r="D90" s="2">
        <v>46188</v>
      </c>
      <c r="E90" s="1">
        <v>46188.783606446763</v>
      </c>
      <c r="F90" s="1">
        <v>46188.798674189813</v>
      </c>
      <c r="G90" s="1">
        <v>46198.471236307872</v>
      </c>
      <c r="H90" s="2">
        <v>46198</v>
      </c>
      <c r="I90">
        <v>11717</v>
      </c>
      <c r="J90" t="s">
        <v>44</v>
      </c>
      <c r="K90">
        <v>241736</v>
      </c>
      <c r="L90" t="s">
        <v>45</v>
      </c>
      <c r="M90" t="s">
        <v>46</v>
      </c>
      <c r="N90" t="s">
        <v>47</v>
      </c>
      <c r="O90" t="s">
        <v>398</v>
      </c>
      <c r="P90">
        <v>17486332782</v>
      </c>
      <c r="Q90" t="s">
        <v>399</v>
      </c>
      <c r="R90" t="s">
        <v>400</v>
      </c>
      <c r="S90" t="s">
        <v>401</v>
      </c>
      <c r="T90" t="s">
        <v>48</v>
      </c>
      <c r="U90" t="s">
        <v>46</v>
      </c>
      <c r="V90" t="s">
        <v>49</v>
      </c>
      <c r="W90" t="s">
        <v>50</v>
      </c>
      <c r="X90">
        <v>37.229999999999997</v>
      </c>
      <c r="Y90">
        <v>2.98</v>
      </c>
      <c r="Z90">
        <v>0</v>
      </c>
      <c r="AA90">
        <v>-5.58</v>
      </c>
      <c r="AB90">
        <v>-0.15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34.479999999999997</v>
      </c>
      <c r="AM90">
        <v>0</v>
      </c>
      <c r="AN90">
        <v>0</v>
      </c>
      <c r="AO90">
        <v>37.229999999999997</v>
      </c>
      <c r="AP90">
        <v>0</v>
      </c>
      <c r="AQ90">
        <v>0</v>
      </c>
      <c r="AR90">
        <v>589239030</v>
      </c>
    </row>
    <row r="91" spans="1:44" x14ac:dyDescent="0.25">
      <c r="A91" s="1">
        <v>46188.993873923609</v>
      </c>
      <c r="B91" s="2">
        <v>46188</v>
      </c>
      <c r="C91" s="1">
        <v>46188.785540590281</v>
      </c>
      <c r="D91" s="2">
        <v>46188</v>
      </c>
      <c r="E91" s="1">
        <v>46188.774771412034</v>
      </c>
      <c r="F91" s="1">
        <v>46188.785527673608</v>
      </c>
      <c r="G91" s="1">
        <v>46198.471236307872</v>
      </c>
      <c r="H91" s="2">
        <v>46198</v>
      </c>
      <c r="I91">
        <v>11717</v>
      </c>
      <c r="J91" t="s">
        <v>44</v>
      </c>
      <c r="K91">
        <v>241736</v>
      </c>
      <c r="L91" t="s">
        <v>45</v>
      </c>
      <c r="M91" t="s">
        <v>46</v>
      </c>
      <c r="N91" t="s">
        <v>47</v>
      </c>
      <c r="O91" t="s">
        <v>402</v>
      </c>
      <c r="P91">
        <v>17486068973</v>
      </c>
      <c r="Q91" t="s">
        <v>403</v>
      </c>
      <c r="R91" t="s">
        <v>404</v>
      </c>
      <c r="S91" t="s">
        <v>405</v>
      </c>
      <c r="T91" t="s">
        <v>48</v>
      </c>
      <c r="U91" t="s">
        <v>46</v>
      </c>
      <c r="V91" t="s">
        <v>49</v>
      </c>
      <c r="W91" t="s">
        <v>50</v>
      </c>
      <c r="X91">
        <v>14.09</v>
      </c>
      <c r="Y91">
        <v>1.1299999999999999</v>
      </c>
      <c r="Z91">
        <v>0</v>
      </c>
      <c r="AA91">
        <v>-2.11</v>
      </c>
      <c r="AB91">
        <v>-0.06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13.05</v>
      </c>
      <c r="AM91">
        <v>0</v>
      </c>
      <c r="AN91">
        <v>0</v>
      </c>
      <c r="AO91">
        <v>14.09</v>
      </c>
      <c r="AP91">
        <v>0</v>
      </c>
      <c r="AQ91">
        <v>0</v>
      </c>
      <c r="AR91">
        <v>589239030</v>
      </c>
    </row>
    <row r="92" spans="1:44" x14ac:dyDescent="0.25">
      <c r="A92" s="1">
        <v>46188.913673437499</v>
      </c>
      <c r="B92" s="2">
        <v>46188</v>
      </c>
      <c r="C92" s="1">
        <v>46188.705340104163</v>
      </c>
      <c r="D92" s="2">
        <v>46188</v>
      </c>
      <c r="E92" s="1">
        <v>46188.700631828702</v>
      </c>
      <c r="F92" s="1">
        <v>46188.70532883102</v>
      </c>
      <c r="G92" s="1">
        <v>46198.471236307872</v>
      </c>
      <c r="H92" s="2">
        <v>46198</v>
      </c>
      <c r="I92">
        <v>11717</v>
      </c>
      <c r="J92" t="s">
        <v>44</v>
      </c>
      <c r="K92">
        <v>241736</v>
      </c>
      <c r="L92" t="s">
        <v>45</v>
      </c>
      <c r="M92" t="s">
        <v>46</v>
      </c>
      <c r="N92" t="s">
        <v>47</v>
      </c>
      <c r="O92" t="s">
        <v>406</v>
      </c>
      <c r="P92">
        <v>17484607149</v>
      </c>
      <c r="Q92" t="s">
        <v>407</v>
      </c>
      <c r="R92" t="s">
        <v>408</v>
      </c>
      <c r="S92" t="s">
        <v>409</v>
      </c>
      <c r="T92" t="s">
        <v>48</v>
      </c>
      <c r="U92" t="s">
        <v>46</v>
      </c>
      <c r="V92" t="s">
        <v>49</v>
      </c>
      <c r="W92" t="s">
        <v>50</v>
      </c>
      <c r="X92">
        <v>3.99</v>
      </c>
      <c r="Y92">
        <v>0.32</v>
      </c>
      <c r="Z92">
        <v>0</v>
      </c>
      <c r="AA92">
        <v>-0.6</v>
      </c>
      <c r="AB92">
        <v>-0.02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3.69</v>
      </c>
      <c r="AM92">
        <v>0</v>
      </c>
      <c r="AN92">
        <v>0</v>
      </c>
      <c r="AO92">
        <v>3.99</v>
      </c>
      <c r="AP92">
        <v>0</v>
      </c>
      <c r="AQ92">
        <v>0</v>
      </c>
      <c r="AR92">
        <v>589239030</v>
      </c>
    </row>
    <row r="93" spans="1:44" x14ac:dyDescent="0.25">
      <c r="A93" s="1">
        <v>46188.856737696762</v>
      </c>
      <c r="B93" s="2">
        <v>46188</v>
      </c>
      <c r="C93" s="1">
        <v>46188.648404363426</v>
      </c>
      <c r="D93" s="2">
        <v>46188</v>
      </c>
      <c r="E93" s="1">
        <v>46188.643162916669</v>
      </c>
      <c r="F93" s="1">
        <v>46188.648392314812</v>
      </c>
      <c r="G93" s="1">
        <v>46198.471236307872</v>
      </c>
      <c r="H93" s="2">
        <v>46198</v>
      </c>
      <c r="I93">
        <v>11717</v>
      </c>
      <c r="J93" t="s">
        <v>44</v>
      </c>
      <c r="K93">
        <v>241736</v>
      </c>
      <c r="L93" t="s">
        <v>45</v>
      </c>
      <c r="M93" t="s">
        <v>46</v>
      </c>
      <c r="N93" t="s">
        <v>47</v>
      </c>
      <c r="O93" t="s">
        <v>410</v>
      </c>
      <c r="P93">
        <v>17483795874</v>
      </c>
      <c r="Q93" t="s">
        <v>411</v>
      </c>
      <c r="R93" t="s">
        <v>412</v>
      </c>
      <c r="S93" t="s">
        <v>413</v>
      </c>
      <c r="T93" t="s">
        <v>48</v>
      </c>
      <c r="U93" t="s">
        <v>46</v>
      </c>
      <c r="V93" t="s">
        <v>49</v>
      </c>
      <c r="W93" t="s">
        <v>50</v>
      </c>
      <c r="X93">
        <v>28.21</v>
      </c>
      <c r="Y93">
        <v>2.2599999999999998</v>
      </c>
      <c r="Z93">
        <v>0</v>
      </c>
      <c r="AA93">
        <v>-4.2300000000000004</v>
      </c>
      <c r="AB93">
        <v>-0.11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26.13</v>
      </c>
      <c r="AM93">
        <v>0</v>
      </c>
      <c r="AN93">
        <v>0</v>
      </c>
      <c r="AO93">
        <v>28.21</v>
      </c>
      <c r="AP93">
        <v>0</v>
      </c>
      <c r="AQ93">
        <v>0</v>
      </c>
      <c r="AR93">
        <v>589239030</v>
      </c>
    </row>
    <row r="94" spans="1:44" x14ac:dyDescent="0.25">
      <c r="A94" s="1">
        <v>46188.80615783565</v>
      </c>
      <c r="B94" s="2">
        <v>46188</v>
      </c>
      <c r="C94" s="1">
        <v>46188.597824502314</v>
      </c>
      <c r="D94" s="2">
        <v>46188</v>
      </c>
      <c r="E94" s="1">
        <v>46188.53090766204</v>
      </c>
      <c r="F94" s="1">
        <v>46188.59781525463</v>
      </c>
      <c r="G94" s="1">
        <v>46198.471236307872</v>
      </c>
      <c r="H94" s="2">
        <v>46198</v>
      </c>
      <c r="I94">
        <v>11717</v>
      </c>
      <c r="J94" t="s">
        <v>44</v>
      </c>
      <c r="K94">
        <v>241736</v>
      </c>
      <c r="L94" t="s">
        <v>45</v>
      </c>
      <c r="M94" t="s">
        <v>46</v>
      </c>
      <c r="N94" t="s">
        <v>47</v>
      </c>
      <c r="O94" t="s">
        <v>414</v>
      </c>
      <c r="P94">
        <v>17483101309</v>
      </c>
      <c r="Q94" t="s">
        <v>415</v>
      </c>
      <c r="R94" t="s">
        <v>416</v>
      </c>
      <c r="S94" t="s">
        <v>417</v>
      </c>
      <c r="T94" t="s">
        <v>48</v>
      </c>
      <c r="U94" t="s">
        <v>46</v>
      </c>
      <c r="V94" t="s">
        <v>51</v>
      </c>
      <c r="W94" t="s">
        <v>50</v>
      </c>
      <c r="X94">
        <v>34.380000000000003</v>
      </c>
      <c r="Y94">
        <v>2.75</v>
      </c>
      <c r="Z94">
        <v>0</v>
      </c>
      <c r="AA94">
        <v>-2.06</v>
      </c>
      <c r="AB94">
        <v>-0.14000000000000001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34.93</v>
      </c>
      <c r="AM94">
        <v>0</v>
      </c>
      <c r="AN94">
        <v>0</v>
      </c>
      <c r="AO94">
        <v>34.380000000000003</v>
      </c>
      <c r="AP94">
        <v>0</v>
      </c>
      <c r="AQ94">
        <v>0</v>
      </c>
      <c r="AR94">
        <v>589239030</v>
      </c>
    </row>
    <row r="95" spans="1:44" x14ac:dyDescent="0.25">
      <c r="A95" s="1">
        <v>46188.730536111114</v>
      </c>
      <c r="B95" s="2">
        <v>46188</v>
      </c>
      <c r="C95" s="1">
        <v>46188.522202777778</v>
      </c>
      <c r="D95" s="2">
        <v>46188</v>
      </c>
      <c r="E95" s="1">
        <v>46188.512800671298</v>
      </c>
      <c r="F95" s="1">
        <v>46188.522191759257</v>
      </c>
      <c r="G95" s="1">
        <v>46198.471236307872</v>
      </c>
      <c r="H95" s="2">
        <v>46198</v>
      </c>
      <c r="I95">
        <v>11717</v>
      </c>
      <c r="J95" t="s">
        <v>44</v>
      </c>
      <c r="K95">
        <v>241736</v>
      </c>
      <c r="L95" t="s">
        <v>45</v>
      </c>
      <c r="M95" t="s">
        <v>46</v>
      </c>
      <c r="N95" t="s">
        <v>47</v>
      </c>
      <c r="O95" t="s">
        <v>418</v>
      </c>
      <c r="P95">
        <v>17482014578</v>
      </c>
      <c r="Q95" t="s">
        <v>419</v>
      </c>
      <c r="R95" t="s">
        <v>420</v>
      </c>
      <c r="S95" t="s">
        <v>421</v>
      </c>
      <c r="T95" t="s">
        <v>48</v>
      </c>
      <c r="U95" t="s">
        <v>46</v>
      </c>
      <c r="V95" t="s">
        <v>49</v>
      </c>
      <c r="W95" t="s">
        <v>50</v>
      </c>
      <c r="X95">
        <v>17.68</v>
      </c>
      <c r="Y95">
        <v>1.41</v>
      </c>
      <c r="Z95">
        <v>0</v>
      </c>
      <c r="AA95">
        <v>-2.65</v>
      </c>
      <c r="AB95">
        <v>-7.0000000000000007E-2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16.37</v>
      </c>
      <c r="AM95">
        <v>0</v>
      </c>
      <c r="AN95">
        <v>0</v>
      </c>
      <c r="AO95">
        <v>17.68</v>
      </c>
      <c r="AP95">
        <v>0</v>
      </c>
      <c r="AQ95">
        <v>0</v>
      </c>
      <c r="AR95">
        <v>589239030</v>
      </c>
    </row>
    <row r="96" spans="1:44" x14ac:dyDescent="0.25">
      <c r="A96" s="1">
        <v>46188.719062638891</v>
      </c>
      <c r="B96" s="2">
        <v>46188</v>
      </c>
      <c r="C96" s="1">
        <v>46188.510729305555</v>
      </c>
      <c r="D96" s="2">
        <v>46188</v>
      </c>
      <c r="E96" s="1">
        <v>46188.5031422338</v>
      </c>
      <c r="F96" s="1">
        <v>46188.510717291669</v>
      </c>
      <c r="G96" s="1">
        <v>46198.471236307872</v>
      </c>
      <c r="H96" s="2">
        <v>46198</v>
      </c>
      <c r="I96">
        <v>11717</v>
      </c>
      <c r="J96" t="s">
        <v>44</v>
      </c>
      <c r="K96">
        <v>241736</v>
      </c>
      <c r="L96" t="s">
        <v>45</v>
      </c>
      <c r="M96" t="s">
        <v>46</v>
      </c>
      <c r="N96" t="s">
        <v>47</v>
      </c>
      <c r="O96" t="s">
        <v>422</v>
      </c>
      <c r="P96">
        <v>17481845096</v>
      </c>
      <c r="Q96" t="s">
        <v>423</v>
      </c>
      <c r="R96" t="s">
        <v>424</v>
      </c>
      <c r="S96" t="s">
        <v>425</v>
      </c>
      <c r="T96" t="s">
        <v>48</v>
      </c>
      <c r="U96" t="s">
        <v>46</v>
      </c>
      <c r="V96" t="s">
        <v>49</v>
      </c>
      <c r="W96" t="s">
        <v>50</v>
      </c>
      <c r="X96">
        <v>16.440000000000001</v>
      </c>
      <c r="Y96">
        <v>1.32</v>
      </c>
      <c r="Z96">
        <v>0</v>
      </c>
      <c r="AA96">
        <v>-2.4700000000000002</v>
      </c>
      <c r="AB96">
        <v>-0.06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15.23</v>
      </c>
      <c r="AM96">
        <v>0</v>
      </c>
      <c r="AN96">
        <v>0</v>
      </c>
      <c r="AO96">
        <v>16.440000000000001</v>
      </c>
      <c r="AP96">
        <v>0</v>
      </c>
      <c r="AQ96">
        <v>0</v>
      </c>
      <c r="AR96">
        <v>589239030</v>
      </c>
    </row>
    <row r="97" spans="1:44" x14ac:dyDescent="0.25">
      <c r="A97" s="1">
        <v>46188.70426175926</v>
      </c>
      <c r="B97" s="2">
        <v>46188</v>
      </c>
      <c r="C97" s="1">
        <v>46188.495928425924</v>
      </c>
      <c r="D97" s="2">
        <v>46188</v>
      </c>
      <c r="E97" s="1">
        <v>46188.491447118053</v>
      </c>
      <c r="F97" s="1">
        <v>46188.495917766202</v>
      </c>
      <c r="G97" s="1">
        <v>46198.471236307872</v>
      </c>
      <c r="H97" s="2">
        <v>46198</v>
      </c>
      <c r="I97">
        <v>11717</v>
      </c>
      <c r="J97" t="s">
        <v>44</v>
      </c>
      <c r="K97">
        <v>241736</v>
      </c>
      <c r="L97" t="s">
        <v>45</v>
      </c>
      <c r="M97" t="s">
        <v>46</v>
      </c>
      <c r="N97" t="s">
        <v>47</v>
      </c>
      <c r="O97" t="s">
        <v>426</v>
      </c>
      <c r="P97">
        <v>17481627610</v>
      </c>
      <c r="Q97" t="s">
        <v>427</v>
      </c>
      <c r="R97" t="s">
        <v>428</v>
      </c>
      <c r="S97" t="s">
        <v>429</v>
      </c>
      <c r="T97" t="s">
        <v>48</v>
      </c>
      <c r="U97" t="s">
        <v>46</v>
      </c>
      <c r="V97" t="s">
        <v>49</v>
      </c>
      <c r="W97" t="s">
        <v>50</v>
      </c>
      <c r="X97">
        <v>13</v>
      </c>
      <c r="Y97">
        <v>1.04</v>
      </c>
      <c r="Z97">
        <v>0</v>
      </c>
      <c r="AA97">
        <v>-1.95</v>
      </c>
      <c r="AB97">
        <v>-0.05</v>
      </c>
      <c r="AC97">
        <v>0</v>
      </c>
      <c r="AD97">
        <v>0</v>
      </c>
      <c r="AE97">
        <v>0</v>
      </c>
      <c r="AF97">
        <v>-1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12.04</v>
      </c>
      <c r="AM97">
        <v>0</v>
      </c>
      <c r="AN97">
        <v>0</v>
      </c>
      <c r="AO97">
        <v>13</v>
      </c>
      <c r="AP97">
        <v>0</v>
      </c>
      <c r="AQ97">
        <v>0</v>
      </c>
      <c r="AR97">
        <v>589239030</v>
      </c>
    </row>
    <row r="98" spans="1:44" x14ac:dyDescent="0.25">
      <c r="A98" s="1">
        <v>46187.990723981478</v>
      </c>
      <c r="B98" s="2">
        <v>46187</v>
      </c>
      <c r="C98" s="1">
        <v>46187.78239064815</v>
      </c>
      <c r="D98" s="2">
        <v>46187</v>
      </c>
      <c r="E98" s="1">
        <v>46187.772354641202</v>
      </c>
      <c r="F98" s="1">
        <v>46187.782378622687</v>
      </c>
      <c r="G98" s="1">
        <v>46191.435840347222</v>
      </c>
      <c r="H98" s="2">
        <v>46191</v>
      </c>
      <c r="I98">
        <v>11717</v>
      </c>
      <c r="J98" t="s">
        <v>44</v>
      </c>
      <c r="K98">
        <v>241736</v>
      </c>
      <c r="L98" t="s">
        <v>45</v>
      </c>
      <c r="M98" t="s">
        <v>46</v>
      </c>
      <c r="N98" t="s">
        <v>47</v>
      </c>
      <c r="O98" t="s">
        <v>430</v>
      </c>
      <c r="P98">
        <v>17475538754</v>
      </c>
      <c r="Q98" t="s">
        <v>431</v>
      </c>
      <c r="R98" t="s">
        <v>432</v>
      </c>
      <c r="S98" t="s">
        <v>433</v>
      </c>
      <c r="T98" t="s">
        <v>48</v>
      </c>
      <c r="U98" t="s">
        <v>46</v>
      </c>
      <c r="V98" t="s">
        <v>49</v>
      </c>
      <c r="W98" t="s">
        <v>50</v>
      </c>
      <c r="X98">
        <v>31.47</v>
      </c>
      <c r="Y98">
        <v>2.52</v>
      </c>
      <c r="Z98">
        <v>0</v>
      </c>
      <c r="AA98">
        <v>-4.72</v>
      </c>
      <c r="AB98">
        <v>-0.12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29.15</v>
      </c>
      <c r="AM98">
        <v>0</v>
      </c>
      <c r="AN98">
        <v>0</v>
      </c>
      <c r="AO98">
        <v>31.47</v>
      </c>
      <c r="AP98">
        <v>0</v>
      </c>
      <c r="AQ98">
        <v>0</v>
      </c>
      <c r="AR98">
        <v>587195435</v>
      </c>
    </row>
    <row r="99" spans="1:44" x14ac:dyDescent="0.25">
      <c r="A99" s="1">
        <v>46187.983692442132</v>
      </c>
      <c r="B99" s="2">
        <v>46187</v>
      </c>
      <c r="C99" s="1">
        <v>46187.775359108797</v>
      </c>
      <c r="D99" s="2">
        <v>46187</v>
      </c>
      <c r="E99" s="1">
        <v>46187.768301354168</v>
      </c>
      <c r="F99" s="1">
        <v>46187.775346203707</v>
      </c>
      <c r="G99" s="1">
        <v>46191.435840347222</v>
      </c>
      <c r="H99" s="2">
        <v>46191</v>
      </c>
      <c r="I99">
        <v>11717</v>
      </c>
      <c r="J99" t="s">
        <v>44</v>
      </c>
      <c r="K99">
        <v>241736</v>
      </c>
      <c r="L99" t="s">
        <v>45</v>
      </c>
      <c r="M99" t="s">
        <v>46</v>
      </c>
      <c r="N99" t="s">
        <v>47</v>
      </c>
      <c r="O99" t="s">
        <v>434</v>
      </c>
      <c r="P99">
        <v>17475391270</v>
      </c>
      <c r="Q99" t="s">
        <v>435</v>
      </c>
      <c r="R99" t="s">
        <v>436</v>
      </c>
      <c r="S99" t="s">
        <v>437</v>
      </c>
      <c r="T99" t="s">
        <v>48</v>
      </c>
      <c r="U99" t="s">
        <v>46</v>
      </c>
      <c r="V99" t="s">
        <v>49</v>
      </c>
      <c r="W99" t="s">
        <v>50</v>
      </c>
      <c r="X99">
        <v>15.98</v>
      </c>
      <c r="Y99">
        <v>1.28</v>
      </c>
      <c r="Z99">
        <v>0</v>
      </c>
      <c r="AA99">
        <v>-2.4</v>
      </c>
      <c r="AB99">
        <v>-0.06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14.8</v>
      </c>
      <c r="AM99">
        <v>0</v>
      </c>
      <c r="AN99">
        <v>0</v>
      </c>
      <c r="AO99">
        <v>15.98</v>
      </c>
      <c r="AP99">
        <v>0</v>
      </c>
      <c r="AQ99">
        <v>0</v>
      </c>
      <c r="AR99">
        <v>587195435</v>
      </c>
    </row>
    <row r="100" spans="1:44" x14ac:dyDescent="0.25">
      <c r="A100" s="1">
        <v>46187.961557083334</v>
      </c>
      <c r="B100" s="2">
        <v>46187</v>
      </c>
      <c r="C100" s="1">
        <v>46187.753223749998</v>
      </c>
      <c r="D100" s="2">
        <v>46187</v>
      </c>
      <c r="E100" s="1">
        <v>46187.744893391202</v>
      </c>
      <c r="F100" s="1">
        <v>46187.753211759256</v>
      </c>
      <c r="G100" s="1">
        <v>46191.435840347222</v>
      </c>
      <c r="H100" s="2">
        <v>46191</v>
      </c>
      <c r="I100">
        <v>11717</v>
      </c>
      <c r="J100" t="s">
        <v>44</v>
      </c>
      <c r="K100">
        <v>241736</v>
      </c>
      <c r="L100" t="s">
        <v>45</v>
      </c>
      <c r="M100" t="s">
        <v>46</v>
      </c>
      <c r="N100" t="s">
        <v>47</v>
      </c>
      <c r="O100" t="s">
        <v>438</v>
      </c>
      <c r="P100">
        <v>17474933220</v>
      </c>
      <c r="Q100" t="s">
        <v>439</v>
      </c>
      <c r="R100" t="s">
        <v>440</v>
      </c>
      <c r="S100" t="s">
        <v>441</v>
      </c>
      <c r="T100" t="s">
        <v>48</v>
      </c>
      <c r="U100" t="s">
        <v>46</v>
      </c>
      <c r="V100" t="s">
        <v>49</v>
      </c>
      <c r="W100" t="s">
        <v>50</v>
      </c>
      <c r="X100">
        <v>15.73</v>
      </c>
      <c r="Y100">
        <v>1.26</v>
      </c>
      <c r="Z100">
        <v>0</v>
      </c>
      <c r="AA100">
        <v>-2.36</v>
      </c>
      <c r="AB100">
        <v>-0.06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14.57</v>
      </c>
      <c r="AM100">
        <v>0</v>
      </c>
      <c r="AN100">
        <v>0</v>
      </c>
      <c r="AO100">
        <v>15.73</v>
      </c>
      <c r="AP100">
        <v>0</v>
      </c>
      <c r="AQ100">
        <v>0</v>
      </c>
      <c r="AR100">
        <v>587195435</v>
      </c>
    </row>
    <row r="101" spans="1:44" x14ac:dyDescent="0.25">
      <c r="A101" s="1">
        <v>46187.946442858796</v>
      </c>
      <c r="B101" s="2">
        <v>46187</v>
      </c>
      <c r="C101" s="1">
        <v>46187.73810952546</v>
      </c>
      <c r="D101" s="2">
        <v>46187</v>
      </c>
      <c r="E101" s="1">
        <v>46187.672533877318</v>
      </c>
      <c r="F101" s="1">
        <v>46187.738100636576</v>
      </c>
      <c r="G101" s="1">
        <v>46191.435840347222</v>
      </c>
      <c r="H101" s="2">
        <v>46191</v>
      </c>
      <c r="I101">
        <v>11717</v>
      </c>
      <c r="J101" t="s">
        <v>44</v>
      </c>
      <c r="K101">
        <v>241736</v>
      </c>
      <c r="L101" t="s">
        <v>45</v>
      </c>
      <c r="M101" t="s">
        <v>46</v>
      </c>
      <c r="N101" t="s">
        <v>47</v>
      </c>
      <c r="O101" t="s">
        <v>442</v>
      </c>
      <c r="P101">
        <v>17474629833</v>
      </c>
      <c r="Q101" t="s">
        <v>443</v>
      </c>
      <c r="R101" t="s">
        <v>444</v>
      </c>
      <c r="S101" t="s">
        <v>445</v>
      </c>
      <c r="T101" t="s">
        <v>48</v>
      </c>
      <c r="U101" t="s">
        <v>46</v>
      </c>
      <c r="V101" t="s">
        <v>51</v>
      </c>
      <c r="W101" t="s">
        <v>50</v>
      </c>
      <c r="X101">
        <v>13.98</v>
      </c>
      <c r="Y101">
        <v>0.48</v>
      </c>
      <c r="Z101">
        <v>0</v>
      </c>
      <c r="AA101">
        <v>-0.36</v>
      </c>
      <c r="AB101">
        <v>-0.02</v>
      </c>
      <c r="AC101">
        <v>0</v>
      </c>
      <c r="AD101">
        <v>0</v>
      </c>
      <c r="AE101">
        <v>-8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6.08</v>
      </c>
      <c r="AM101">
        <v>0</v>
      </c>
      <c r="AN101">
        <v>0</v>
      </c>
      <c r="AO101">
        <v>5.98</v>
      </c>
      <c r="AP101">
        <v>0</v>
      </c>
      <c r="AQ101">
        <v>0</v>
      </c>
      <c r="AR101">
        <v>587195435</v>
      </c>
    </row>
    <row r="102" spans="1:44" x14ac:dyDescent="0.25">
      <c r="A102" s="1">
        <v>46187.943126342594</v>
      </c>
      <c r="B102" s="2">
        <v>46187</v>
      </c>
      <c r="C102" s="1">
        <v>46187.734793009258</v>
      </c>
      <c r="D102" s="2">
        <v>46187</v>
      </c>
      <c r="E102" s="1">
        <v>46187.724035590276</v>
      </c>
      <c r="F102" s="1">
        <v>46187.734782604166</v>
      </c>
      <c r="G102" s="1">
        <v>46191.435840347222</v>
      </c>
      <c r="H102" s="2">
        <v>46191</v>
      </c>
      <c r="I102">
        <v>11717</v>
      </c>
      <c r="J102" t="s">
        <v>44</v>
      </c>
      <c r="K102">
        <v>241736</v>
      </c>
      <c r="L102" t="s">
        <v>45</v>
      </c>
      <c r="M102" t="s">
        <v>46</v>
      </c>
      <c r="N102" t="s">
        <v>47</v>
      </c>
      <c r="O102" t="s">
        <v>446</v>
      </c>
      <c r="P102">
        <v>17474562735</v>
      </c>
      <c r="Q102" t="s">
        <v>447</v>
      </c>
      <c r="R102" t="s">
        <v>448</v>
      </c>
      <c r="S102" t="s">
        <v>449</v>
      </c>
      <c r="T102" t="s">
        <v>48</v>
      </c>
      <c r="U102" t="s">
        <v>46</v>
      </c>
      <c r="V102" t="s">
        <v>49</v>
      </c>
      <c r="W102" t="s">
        <v>50</v>
      </c>
      <c r="X102">
        <v>25.56</v>
      </c>
      <c r="Y102">
        <v>2.04</v>
      </c>
      <c r="Z102">
        <v>0</v>
      </c>
      <c r="AA102">
        <v>-3.83</v>
      </c>
      <c r="AB102">
        <v>-0.1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23.67</v>
      </c>
      <c r="AM102">
        <v>0</v>
      </c>
      <c r="AN102">
        <v>0</v>
      </c>
      <c r="AO102">
        <v>25.56</v>
      </c>
      <c r="AP102">
        <v>0</v>
      </c>
      <c r="AQ102">
        <v>0</v>
      </c>
      <c r="AR102">
        <v>587195435</v>
      </c>
    </row>
    <row r="103" spans="1:44" x14ac:dyDescent="0.25">
      <c r="A103" s="1">
        <v>46187.879816261571</v>
      </c>
      <c r="B103" s="2">
        <v>46187</v>
      </c>
      <c r="C103" s="1">
        <v>46187.671482928243</v>
      </c>
      <c r="D103" s="2">
        <v>46187</v>
      </c>
      <c r="E103" s="1">
        <v>46187.660159710649</v>
      </c>
      <c r="F103" s="1">
        <v>46187.671470648151</v>
      </c>
      <c r="G103" s="1">
        <v>46191.435840347222</v>
      </c>
      <c r="H103" s="2">
        <v>46191</v>
      </c>
      <c r="I103">
        <v>11717</v>
      </c>
      <c r="J103" t="s">
        <v>44</v>
      </c>
      <c r="K103">
        <v>241736</v>
      </c>
      <c r="L103" t="s">
        <v>45</v>
      </c>
      <c r="M103" t="s">
        <v>46</v>
      </c>
      <c r="N103" t="s">
        <v>47</v>
      </c>
      <c r="O103" t="s">
        <v>450</v>
      </c>
      <c r="P103">
        <v>17473411189</v>
      </c>
      <c r="Q103" t="s">
        <v>451</v>
      </c>
      <c r="R103" t="s">
        <v>452</v>
      </c>
      <c r="S103" t="s">
        <v>453</v>
      </c>
      <c r="T103" t="s">
        <v>48</v>
      </c>
      <c r="U103" t="s">
        <v>46</v>
      </c>
      <c r="V103" t="s">
        <v>49</v>
      </c>
      <c r="W103" t="s">
        <v>50</v>
      </c>
      <c r="X103">
        <v>18.98</v>
      </c>
      <c r="Y103">
        <v>1.52</v>
      </c>
      <c r="Z103">
        <v>0</v>
      </c>
      <c r="AA103">
        <v>-2.85</v>
      </c>
      <c r="AB103">
        <v>-7.0000000000000007E-2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17.579999999999998</v>
      </c>
      <c r="AM103">
        <v>0</v>
      </c>
      <c r="AN103">
        <v>0</v>
      </c>
      <c r="AO103">
        <v>18.98</v>
      </c>
      <c r="AP103">
        <v>0</v>
      </c>
      <c r="AQ103">
        <v>0</v>
      </c>
      <c r="AR103">
        <v>587195435</v>
      </c>
    </row>
    <row r="104" spans="1:44" x14ac:dyDescent="0.25">
      <c r="A104" s="1">
        <v>46187.870346793985</v>
      </c>
      <c r="B104" s="2">
        <v>46187</v>
      </c>
      <c r="C104" s="1">
        <v>46187.662013460649</v>
      </c>
      <c r="D104" s="2">
        <v>46187</v>
      </c>
      <c r="E104" s="1">
        <v>46187.645335868059</v>
      </c>
      <c r="F104" s="1">
        <v>46187.662001446763</v>
      </c>
      <c r="G104" s="1">
        <v>46191.435840347222</v>
      </c>
      <c r="H104" s="2">
        <v>46191</v>
      </c>
      <c r="I104">
        <v>11717</v>
      </c>
      <c r="J104" t="s">
        <v>44</v>
      </c>
      <c r="K104">
        <v>241736</v>
      </c>
      <c r="L104" t="s">
        <v>45</v>
      </c>
      <c r="M104" t="s">
        <v>46</v>
      </c>
      <c r="N104" t="s">
        <v>47</v>
      </c>
      <c r="O104" t="s">
        <v>454</v>
      </c>
      <c r="P104">
        <v>17473252061</v>
      </c>
      <c r="Q104" t="s">
        <v>455</v>
      </c>
      <c r="R104" t="s">
        <v>456</v>
      </c>
      <c r="S104" t="s">
        <v>457</v>
      </c>
      <c r="T104" t="s">
        <v>48</v>
      </c>
      <c r="U104" t="s">
        <v>46</v>
      </c>
      <c r="V104" t="s">
        <v>49</v>
      </c>
      <c r="W104" t="s">
        <v>50</v>
      </c>
      <c r="X104">
        <v>23.07</v>
      </c>
      <c r="Y104">
        <v>1.85</v>
      </c>
      <c r="Z104">
        <v>0</v>
      </c>
      <c r="AA104">
        <v>-3.46</v>
      </c>
      <c r="AB104">
        <v>-0.09</v>
      </c>
      <c r="AC104">
        <v>0</v>
      </c>
      <c r="AD104">
        <v>0</v>
      </c>
      <c r="AE104">
        <v>0</v>
      </c>
      <c r="AF104">
        <v>-4.99</v>
      </c>
      <c r="AG104">
        <v>0</v>
      </c>
      <c r="AH104">
        <v>4.99</v>
      </c>
      <c r="AI104">
        <v>0</v>
      </c>
      <c r="AJ104">
        <v>0</v>
      </c>
      <c r="AK104">
        <v>0</v>
      </c>
      <c r="AL104">
        <v>21.37</v>
      </c>
      <c r="AM104">
        <v>0</v>
      </c>
      <c r="AN104">
        <v>0</v>
      </c>
      <c r="AO104">
        <v>23.07</v>
      </c>
      <c r="AP104">
        <v>0</v>
      </c>
      <c r="AQ104">
        <v>0</v>
      </c>
      <c r="AR104">
        <v>587195435</v>
      </c>
    </row>
    <row r="105" spans="1:44" x14ac:dyDescent="0.25">
      <c r="A105" s="1">
        <v>46187.847101562496</v>
      </c>
      <c r="B105" s="2">
        <v>46187</v>
      </c>
      <c r="C105" s="1">
        <v>46187.638768229168</v>
      </c>
      <c r="D105" s="2">
        <v>46187</v>
      </c>
      <c r="E105" s="1">
        <v>46187.629942916668</v>
      </c>
      <c r="F105" s="1">
        <v>46187.638754016203</v>
      </c>
      <c r="G105" s="1">
        <v>46191.435840347222</v>
      </c>
      <c r="H105" s="2">
        <v>46191</v>
      </c>
      <c r="I105">
        <v>11717</v>
      </c>
      <c r="J105" t="s">
        <v>44</v>
      </c>
      <c r="K105">
        <v>241736</v>
      </c>
      <c r="L105" t="s">
        <v>45</v>
      </c>
      <c r="M105" t="s">
        <v>46</v>
      </c>
      <c r="N105" t="s">
        <v>47</v>
      </c>
      <c r="O105" t="s">
        <v>458</v>
      </c>
      <c r="P105">
        <v>17472880720</v>
      </c>
      <c r="Q105" t="s">
        <v>459</v>
      </c>
      <c r="R105" t="s">
        <v>460</v>
      </c>
      <c r="S105" t="s">
        <v>461</v>
      </c>
      <c r="T105" t="s">
        <v>48</v>
      </c>
      <c r="U105" t="s">
        <v>46</v>
      </c>
      <c r="V105" t="s">
        <v>49</v>
      </c>
      <c r="W105" t="s">
        <v>50</v>
      </c>
      <c r="X105">
        <v>42.95</v>
      </c>
      <c r="Y105">
        <v>2.75</v>
      </c>
      <c r="Z105">
        <v>0</v>
      </c>
      <c r="AA105">
        <v>-6.44</v>
      </c>
      <c r="AB105">
        <v>-0.17</v>
      </c>
      <c r="AC105">
        <v>0</v>
      </c>
      <c r="AD105">
        <v>0</v>
      </c>
      <c r="AE105">
        <v>0</v>
      </c>
      <c r="AF105">
        <v>-8.59</v>
      </c>
      <c r="AG105">
        <v>0</v>
      </c>
      <c r="AH105">
        <v>8.59</v>
      </c>
      <c r="AI105">
        <v>0</v>
      </c>
      <c r="AJ105">
        <v>0</v>
      </c>
      <c r="AK105">
        <v>0</v>
      </c>
      <c r="AL105">
        <v>39.090000000000003</v>
      </c>
      <c r="AM105">
        <v>0</v>
      </c>
      <c r="AN105">
        <v>0</v>
      </c>
      <c r="AO105">
        <v>34.36</v>
      </c>
      <c r="AP105">
        <v>0</v>
      </c>
      <c r="AQ105">
        <v>0</v>
      </c>
      <c r="AR105">
        <v>587195435</v>
      </c>
    </row>
    <row r="106" spans="1:44" x14ac:dyDescent="0.25">
      <c r="A106" s="1">
        <v>46187.748605335648</v>
      </c>
      <c r="B106" s="2">
        <v>46187</v>
      </c>
      <c r="C106" s="1">
        <v>46187.540272002312</v>
      </c>
      <c r="D106" s="2">
        <v>46187</v>
      </c>
      <c r="E106" s="1">
        <v>46187.532275266203</v>
      </c>
      <c r="F106" s="1">
        <v>46187.540260405091</v>
      </c>
      <c r="G106" s="1">
        <v>46191.435840347222</v>
      </c>
      <c r="H106" s="2">
        <v>46191</v>
      </c>
      <c r="I106">
        <v>11717</v>
      </c>
      <c r="J106" t="s">
        <v>44</v>
      </c>
      <c r="K106">
        <v>241736</v>
      </c>
      <c r="L106" t="s">
        <v>45</v>
      </c>
      <c r="M106" t="s">
        <v>46</v>
      </c>
      <c r="N106" t="s">
        <v>47</v>
      </c>
      <c r="O106" t="s">
        <v>462</v>
      </c>
      <c r="P106">
        <v>17471386894</v>
      </c>
      <c r="Q106" t="s">
        <v>463</v>
      </c>
      <c r="R106" t="s">
        <v>464</v>
      </c>
      <c r="S106" t="s">
        <v>465</v>
      </c>
      <c r="T106" t="s">
        <v>48</v>
      </c>
      <c r="U106" t="s">
        <v>46</v>
      </c>
      <c r="V106" t="s">
        <v>49</v>
      </c>
      <c r="W106" t="s">
        <v>50</v>
      </c>
      <c r="X106">
        <v>19.97</v>
      </c>
      <c r="Y106">
        <v>1.6</v>
      </c>
      <c r="Z106">
        <v>0</v>
      </c>
      <c r="AA106">
        <v>-3</v>
      </c>
      <c r="AB106">
        <v>-0.08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18.489999999999998</v>
      </c>
      <c r="AM106">
        <v>0</v>
      </c>
      <c r="AN106">
        <v>0</v>
      </c>
      <c r="AO106">
        <v>19.97</v>
      </c>
      <c r="AP106">
        <v>0</v>
      </c>
      <c r="AQ106">
        <v>0</v>
      </c>
      <c r="AR106">
        <v>587195435</v>
      </c>
    </row>
    <row r="107" spans="1:44" x14ac:dyDescent="0.25">
      <c r="A107" s="1">
        <v>46187.67042869213</v>
      </c>
      <c r="B107" s="2">
        <v>46187</v>
      </c>
      <c r="C107" s="1">
        <v>46187.462095358795</v>
      </c>
      <c r="D107" s="2">
        <v>46187</v>
      </c>
      <c r="E107" s="1">
        <v>46187.45380087963</v>
      </c>
      <c r="F107" s="1">
        <v>46187.462084432867</v>
      </c>
      <c r="G107" s="1">
        <v>46191.435840347222</v>
      </c>
      <c r="H107" s="2">
        <v>46191</v>
      </c>
      <c r="I107">
        <v>11717</v>
      </c>
      <c r="J107" t="s">
        <v>44</v>
      </c>
      <c r="K107">
        <v>241736</v>
      </c>
      <c r="L107" t="s">
        <v>45</v>
      </c>
      <c r="M107" t="s">
        <v>46</v>
      </c>
      <c r="N107" t="s">
        <v>47</v>
      </c>
      <c r="O107" t="s">
        <v>466</v>
      </c>
      <c r="P107">
        <v>17470343350</v>
      </c>
      <c r="Q107" t="s">
        <v>467</v>
      </c>
      <c r="R107" t="s">
        <v>468</v>
      </c>
      <c r="S107" t="s">
        <v>469</v>
      </c>
      <c r="T107" t="s">
        <v>48</v>
      </c>
      <c r="U107" t="s">
        <v>46</v>
      </c>
      <c r="V107" t="s">
        <v>49</v>
      </c>
      <c r="W107" t="s">
        <v>50</v>
      </c>
      <c r="X107">
        <v>18.98</v>
      </c>
      <c r="Y107">
        <v>1.52</v>
      </c>
      <c r="Z107">
        <v>0</v>
      </c>
      <c r="AA107">
        <v>-2.85</v>
      </c>
      <c r="AB107">
        <v>-7.0000000000000007E-2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17.579999999999998</v>
      </c>
      <c r="AM107">
        <v>0</v>
      </c>
      <c r="AN107">
        <v>0</v>
      </c>
      <c r="AO107">
        <v>18.98</v>
      </c>
      <c r="AP107">
        <v>0</v>
      </c>
      <c r="AQ107">
        <v>0</v>
      </c>
      <c r="AR107">
        <v>587195435</v>
      </c>
    </row>
    <row r="108" spans="1:44" x14ac:dyDescent="0.25">
      <c r="A108" s="1">
        <v>46187.085392326386</v>
      </c>
      <c r="B108" s="2">
        <v>46187</v>
      </c>
      <c r="C108" s="1">
        <v>46186.877058993057</v>
      </c>
      <c r="D108" s="2">
        <v>46186</v>
      </c>
      <c r="E108" s="1">
        <v>46186.808102499999</v>
      </c>
      <c r="F108" s="1">
        <v>46186.87704644676</v>
      </c>
      <c r="G108" s="1">
        <v>46191.435840347222</v>
      </c>
      <c r="H108" s="2">
        <v>46191</v>
      </c>
      <c r="I108">
        <v>11717</v>
      </c>
      <c r="J108" t="s">
        <v>44</v>
      </c>
      <c r="K108">
        <v>241736</v>
      </c>
      <c r="L108" t="s">
        <v>45</v>
      </c>
      <c r="M108" t="s">
        <v>46</v>
      </c>
      <c r="N108" t="s">
        <v>47</v>
      </c>
      <c r="O108" t="s">
        <v>470</v>
      </c>
      <c r="P108">
        <v>17466101971</v>
      </c>
      <c r="Q108" t="s">
        <v>471</v>
      </c>
      <c r="R108" t="s">
        <v>472</v>
      </c>
      <c r="S108" t="s">
        <v>473</v>
      </c>
      <c r="T108" t="s">
        <v>48</v>
      </c>
      <c r="U108" t="s">
        <v>46</v>
      </c>
      <c r="V108" t="s">
        <v>51</v>
      </c>
      <c r="W108" t="s">
        <v>50</v>
      </c>
      <c r="X108">
        <v>42.93</v>
      </c>
      <c r="Y108">
        <v>3.43</v>
      </c>
      <c r="Z108">
        <v>0</v>
      </c>
      <c r="AA108">
        <v>-2.58</v>
      </c>
      <c r="AB108">
        <v>-0.17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43.61</v>
      </c>
      <c r="AM108">
        <v>0</v>
      </c>
      <c r="AN108">
        <v>0</v>
      </c>
      <c r="AO108">
        <v>42.93</v>
      </c>
      <c r="AP108">
        <v>0</v>
      </c>
      <c r="AQ108">
        <v>0</v>
      </c>
      <c r="AR108">
        <v>587195435</v>
      </c>
    </row>
    <row r="109" spans="1:44" x14ac:dyDescent="0.25">
      <c r="A109" s="1">
        <v>46187.056595347225</v>
      </c>
      <c r="B109" s="2">
        <v>46187</v>
      </c>
      <c r="C109" s="1">
        <v>46186.848262013889</v>
      </c>
      <c r="D109" s="2">
        <v>46186</v>
      </c>
      <c r="E109" s="1">
        <v>46186.824341111111</v>
      </c>
      <c r="F109" s="1">
        <v>46186.848250104165</v>
      </c>
      <c r="G109" s="1">
        <v>46191.435840347222</v>
      </c>
      <c r="H109" s="2">
        <v>46191</v>
      </c>
      <c r="I109">
        <v>11717</v>
      </c>
      <c r="J109" t="s">
        <v>44</v>
      </c>
      <c r="K109">
        <v>241736</v>
      </c>
      <c r="L109" t="s">
        <v>45</v>
      </c>
      <c r="M109" t="s">
        <v>46</v>
      </c>
      <c r="N109" t="s">
        <v>47</v>
      </c>
      <c r="O109" t="s">
        <v>474</v>
      </c>
      <c r="P109">
        <v>17465508157</v>
      </c>
      <c r="Q109" t="s">
        <v>475</v>
      </c>
      <c r="R109" t="s">
        <v>476</v>
      </c>
      <c r="S109" t="s">
        <v>477</v>
      </c>
      <c r="T109" t="s">
        <v>48</v>
      </c>
      <c r="U109" t="s">
        <v>46</v>
      </c>
      <c r="V109" t="s">
        <v>49</v>
      </c>
      <c r="W109" t="s">
        <v>50</v>
      </c>
      <c r="X109">
        <v>8.75</v>
      </c>
      <c r="Y109">
        <v>0.7</v>
      </c>
      <c r="Z109">
        <v>0</v>
      </c>
      <c r="AA109">
        <v>-1.31</v>
      </c>
      <c r="AB109">
        <v>-0.03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8.11</v>
      </c>
      <c r="AM109">
        <v>0</v>
      </c>
      <c r="AN109">
        <v>0</v>
      </c>
      <c r="AO109">
        <v>8.75</v>
      </c>
      <c r="AP109">
        <v>0</v>
      </c>
      <c r="AQ109">
        <v>0</v>
      </c>
      <c r="AR109">
        <v>587195435</v>
      </c>
    </row>
    <row r="110" spans="1:44" x14ac:dyDescent="0.25">
      <c r="A110" s="1">
        <v>46186.982981782407</v>
      </c>
      <c r="B110" s="2">
        <v>46186</v>
      </c>
      <c r="C110" s="1">
        <v>46186.774648449071</v>
      </c>
      <c r="D110" s="2">
        <v>46186</v>
      </c>
      <c r="E110" s="1">
        <v>46186.761308368055</v>
      </c>
      <c r="F110" s="1">
        <v>46186.774635578702</v>
      </c>
      <c r="G110" s="1">
        <v>46191.435840347222</v>
      </c>
      <c r="H110" s="2">
        <v>46191</v>
      </c>
      <c r="I110">
        <v>11717</v>
      </c>
      <c r="J110" t="s">
        <v>44</v>
      </c>
      <c r="K110">
        <v>241736</v>
      </c>
      <c r="L110" t="s">
        <v>45</v>
      </c>
      <c r="M110" t="s">
        <v>46</v>
      </c>
      <c r="N110" t="s">
        <v>47</v>
      </c>
      <c r="O110" t="s">
        <v>478</v>
      </c>
      <c r="P110">
        <v>17463897139</v>
      </c>
      <c r="Q110" t="s">
        <v>479</v>
      </c>
      <c r="R110" t="s">
        <v>480</v>
      </c>
      <c r="S110" t="s">
        <v>481</v>
      </c>
      <c r="T110" t="s">
        <v>48</v>
      </c>
      <c r="U110" t="s">
        <v>46</v>
      </c>
      <c r="V110" t="s">
        <v>49</v>
      </c>
      <c r="W110" t="s">
        <v>50</v>
      </c>
      <c r="X110">
        <v>47.06</v>
      </c>
      <c r="Y110">
        <v>3.76</v>
      </c>
      <c r="Z110">
        <v>0</v>
      </c>
      <c r="AA110">
        <v>-7.06</v>
      </c>
      <c r="AB110">
        <v>-0.19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43.57</v>
      </c>
      <c r="AM110">
        <v>0</v>
      </c>
      <c r="AN110">
        <v>0</v>
      </c>
      <c r="AO110">
        <v>47.06</v>
      </c>
      <c r="AP110">
        <v>0</v>
      </c>
      <c r="AQ110">
        <v>0</v>
      </c>
      <c r="AR110">
        <v>587195435</v>
      </c>
    </row>
    <row r="111" spans="1:44" x14ac:dyDescent="0.25">
      <c r="A111" s="1">
        <v>46186.941001643521</v>
      </c>
      <c r="B111" s="2">
        <v>46186</v>
      </c>
      <c r="C111" s="1">
        <v>46186.732668310186</v>
      </c>
      <c r="D111" s="2">
        <v>46186</v>
      </c>
      <c r="E111" s="1">
        <v>46186.726730844908</v>
      </c>
      <c r="F111" s="1">
        <v>46186.732652372688</v>
      </c>
      <c r="G111" s="1">
        <v>46191.435840347222</v>
      </c>
      <c r="H111" s="2">
        <v>46191</v>
      </c>
      <c r="I111">
        <v>11717</v>
      </c>
      <c r="J111" t="s">
        <v>44</v>
      </c>
      <c r="K111">
        <v>241736</v>
      </c>
      <c r="L111" t="s">
        <v>45</v>
      </c>
      <c r="M111" t="s">
        <v>46</v>
      </c>
      <c r="N111" t="s">
        <v>47</v>
      </c>
      <c r="O111" t="s">
        <v>482</v>
      </c>
      <c r="P111">
        <v>17463030207</v>
      </c>
      <c r="Q111" t="s">
        <v>483</v>
      </c>
      <c r="R111" t="s">
        <v>484</v>
      </c>
      <c r="S111" t="s">
        <v>485</v>
      </c>
      <c r="T111" t="s">
        <v>48</v>
      </c>
      <c r="U111" t="s">
        <v>46</v>
      </c>
      <c r="V111" t="s">
        <v>49</v>
      </c>
      <c r="W111" t="s">
        <v>50</v>
      </c>
      <c r="X111">
        <v>26.18</v>
      </c>
      <c r="Y111">
        <v>2.09</v>
      </c>
      <c r="Z111">
        <v>0</v>
      </c>
      <c r="AA111">
        <v>-3.93</v>
      </c>
      <c r="AB111">
        <v>-0.1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24.24</v>
      </c>
      <c r="AM111">
        <v>0</v>
      </c>
      <c r="AN111">
        <v>0</v>
      </c>
      <c r="AO111">
        <v>26.18</v>
      </c>
      <c r="AP111">
        <v>0</v>
      </c>
      <c r="AQ111">
        <v>0</v>
      </c>
      <c r="AR111">
        <v>587195435</v>
      </c>
    </row>
    <row r="112" spans="1:44" x14ac:dyDescent="0.25">
      <c r="A112" s="1">
        <v>46186.093838125002</v>
      </c>
      <c r="B112" s="2">
        <v>46186</v>
      </c>
      <c r="C112" s="1">
        <v>46185.885504791666</v>
      </c>
      <c r="D112" s="2">
        <v>46185</v>
      </c>
      <c r="E112" s="1">
        <v>46185.815750532405</v>
      </c>
      <c r="F112" s="1">
        <v>46185.885495173614</v>
      </c>
      <c r="G112" s="1">
        <v>46191.435840347222</v>
      </c>
      <c r="H112" s="2">
        <v>46191</v>
      </c>
      <c r="I112">
        <v>11717</v>
      </c>
      <c r="J112" t="s">
        <v>44</v>
      </c>
      <c r="K112">
        <v>241736</v>
      </c>
      <c r="L112" t="s">
        <v>45</v>
      </c>
      <c r="M112" t="s">
        <v>46</v>
      </c>
      <c r="N112" t="s">
        <v>47</v>
      </c>
      <c r="O112" t="s">
        <v>486</v>
      </c>
      <c r="P112">
        <v>17454602377</v>
      </c>
      <c r="Q112" t="s">
        <v>487</v>
      </c>
      <c r="R112" t="s">
        <v>488</v>
      </c>
      <c r="S112" t="s">
        <v>489</v>
      </c>
      <c r="T112" t="s">
        <v>48</v>
      </c>
      <c r="U112" t="s">
        <v>46</v>
      </c>
      <c r="V112" t="s">
        <v>51</v>
      </c>
      <c r="W112" t="s">
        <v>50</v>
      </c>
      <c r="X112">
        <v>26.44</v>
      </c>
      <c r="Y112">
        <v>2.12</v>
      </c>
      <c r="Z112">
        <v>0</v>
      </c>
      <c r="AA112">
        <v>-1.59</v>
      </c>
      <c r="AB112">
        <v>-0.1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26.87</v>
      </c>
      <c r="AM112">
        <v>0</v>
      </c>
      <c r="AN112">
        <v>0</v>
      </c>
      <c r="AO112">
        <v>26.44</v>
      </c>
      <c r="AP112">
        <v>0</v>
      </c>
      <c r="AQ112">
        <v>0</v>
      </c>
      <c r="AR112">
        <v>587195435</v>
      </c>
    </row>
    <row r="113" spans="1:44" x14ac:dyDescent="0.25">
      <c r="A113" s="1">
        <v>46186.026904502316</v>
      </c>
      <c r="B113" s="2">
        <v>46186</v>
      </c>
      <c r="C113" s="1">
        <v>46185.81857116898</v>
      </c>
      <c r="D113" s="2">
        <v>46185</v>
      </c>
      <c r="E113" s="1">
        <v>46185.801826400464</v>
      </c>
      <c r="F113" s="1">
        <v>46185.818556516206</v>
      </c>
      <c r="G113" s="1">
        <v>46191.435840347222</v>
      </c>
      <c r="H113" s="2">
        <v>46191</v>
      </c>
      <c r="I113">
        <v>11717</v>
      </c>
      <c r="J113" t="s">
        <v>44</v>
      </c>
      <c r="K113">
        <v>241736</v>
      </c>
      <c r="L113" t="s">
        <v>45</v>
      </c>
      <c r="M113" t="s">
        <v>46</v>
      </c>
      <c r="N113" t="s">
        <v>47</v>
      </c>
      <c r="O113" t="s">
        <v>490</v>
      </c>
      <c r="P113">
        <v>17453057258</v>
      </c>
      <c r="Q113" t="s">
        <v>491</v>
      </c>
      <c r="R113" t="s">
        <v>492</v>
      </c>
      <c r="S113" t="s">
        <v>493</v>
      </c>
      <c r="T113" t="s">
        <v>48</v>
      </c>
      <c r="U113" t="s">
        <v>46</v>
      </c>
      <c r="V113" t="s">
        <v>49</v>
      </c>
      <c r="W113" t="s">
        <v>50</v>
      </c>
      <c r="X113">
        <v>21.58</v>
      </c>
      <c r="Y113">
        <v>1.0900000000000001</v>
      </c>
      <c r="Z113">
        <v>0</v>
      </c>
      <c r="AA113">
        <v>-2.04</v>
      </c>
      <c r="AB113">
        <v>-0.05</v>
      </c>
      <c r="AC113">
        <v>0</v>
      </c>
      <c r="AD113">
        <v>0</v>
      </c>
      <c r="AE113">
        <v>-8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12.58</v>
      </c>
      <c r="AM113">
        <v>0</v>
      </c>
      <c r="AN113">
        <v>0</v>
      </c>
      <c r="AO113">
        <v>13.58</v>
      </c>
      <c r="AP113">
        <v>0</v>
      </c>
      <c r="AQ113">
        <v>0</v>
      </c>
      <c r="AR113">
        <v>587195435</v>
      </c>
    </row>
    <row r="114" spans="1:44" x14ac:dyDescent="0.25">
      <c r="A114" s="1">
        <v>46185.997419791667</v>
      </c>
      <c r="B114" s="2">
        <v>46185</v>
      </c>
      <c r="C114" s="1">
        <v>46185.789086458331</v>
      </c>
      <c r="D114" s="2">
        <v>46185</v>
      </c>
      <c r="E114" s="1">
        <v>46185.776256157405</v>
      </c>
      <c r="F114" s="1">
        <v>46185.789073842592</v>
      </c>
      <c r="G114" s="1">
        <v>46191.435840347222</v>
      </c>
      <c r="H114" s="2">
        <v>46191</v>
      </c>
      <c r="I114">
        <v>11717</v>
      </c>
      <c r="J114" t="s">
        <v>44</v>
      </c>
      <c r="K114">
        <v>241736</v>
      </c>
      <c r="L114" t="s">
        <v>45</v>
      </c>
      <c r="M114" t="s">
        <v>46</v>
      </c>
      <c r="N114" t="s">
        <v>47</v>
      </c>
      <c r="O114" t="s">
        <v>494</v>
      </c>
      <c r="P114">
        <v>17452328326</v>
      </c>
      <c r="Q114" t="s">
        <v>495</v>
      </c>
      <c r="R114" t="s">
        <v>496</v>
      </c>
      <c r="S114" t="s">
        <v>497</v>
      </c>
      <c r="T114" t="s">
        <v>48</v>
      </c>
      <c r="U114" t="s">
        <v>46</v>
      </c>
      <c r="V114" t="s">
        <v>49</v>
      </c>
      <c r="W114" t="s">
        <v>50</v>
      </c>
      <c r="X114">
        <v>30.54</v>
      </c>
      <c r="Y114">
        <v>2.44</v>
      </c>
      <c r="Z114">
        <v>0</v>
      </c>
      <c r="AA114">
        <v>-4.58</v>
      </c>
      <c r="AB114">
        <v>-0.12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28.28</v>
      </c>
      <c r="AM114">
        <v>0</v>
      </c>
      <c r="AN114">
        <v>0</v>
      </c>
      <c r="AO114">
        <v>30.54</v>
      </c>
      <c r="AP114">
        <v>0</v>
      </c>
      <c r="AQ114">
        <v>0</v>
      </c>
      <c r="AR114">
        <v>587195435</v>
      </c>
    </row>
    <row r="115" spans="1:44" x14ac:dyDescent="0.25">
      <c r="A115" s="1">
        <v>46185.995763634259</v>
      </c>
      <c r="B115" s="2">
        <v>46185</v>
      </c>
      <c r="C115" s="1">
        <v>46185.787430300923</v>
      </c>
      <c r="D115" s="2">
        <v>46185</v>
      </c>
      <c r="E115" s="1">
        <v>46185.772337222224</v>
      </c>
      <c r="F115" s="1">
        <v>46185.787413206017</v>
      </c>
      <c r="G115" s="1">
        <v>46191.435840347222</v>
      </c>
      <c r="H115" s="2">
        <v>46191</v>
      </c>
      <c r="I115">
        <v>11717</v>
      </c>
      <c r="J115" t="s">
        <v>44</v>
      </c>
      <c r="K115">
        <v>241736</v>
      </c>
      <c r="L115" t="s">
        <v>45</v>
      </c>
      <c r="M115" t="s">
        <v>46</v>
      </c>
      <c r="N115" t="s">
        <v>47</v>
      </c>
      <c r="O115" t="s">
        <v>498</v>
      </c>
      <c r="P115">
        <v>17452288728</v>
      </c>
      <c r="Q115" t="s">
        <v>499</v>
      </c>
      <c r="R115" t="s">
        <v>500</v>
      </c>
      <c r="S115" t="s">
        <v>501</v>
      </c>
      <c r="T115" t="s">
        <v>48</v>
      </c>
      <c r="U115" t="s">
        <v>46</v>
      </c>
      <c r="V115" t="s">
        <v>49</v>
      </c>
      <c r="W115" t="s">
        <v>50</v>
      </c>
      <c r="X115">
        <v>21.17</v>
      </c>
      <c r="Y115">
        <v>1.05</v>
      </c>
      <c r="Z115">
        <v>0</v>
      </c>
      <c r="AA115">
        <v>-1.98</v>
      </c>
      <c r="AB115">
        <v>-0.05</v>
      </c>
      <c r="AC115">
        <v>0</v>
      </c>
      <c r="AD115">
        <v>0</v>
      </c>
      <c r="AE115">
        <v>-8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12.19</v>
      </c>
      <c r="AM115">
        <v>0</v>
      </c>
      <c r="AN115">
        <v>0</v>
      </c>
      <c r="AO115">
        <v>13.17</v>
      </c>
      <c r="AP115">
        <v>0</v>
      </c>
      <c r="AQ115">
        <v>0</v>
      </c>
      <c r="AR115">
        <v>587195435</v>
      </c>
    </row>
    <row r="116" spans="1:44" x14ac:dyDescent="0.25">
      <c r="A116" s="1">
        <v>46185.95306832176</v>
      </c>
      <c r="B116" s="2">
        <v>46185</v>
      </c>
      <c r="C116" s="1">
        <v>46185.744734988424</v>
      </c>
      <c r="D116" s="2">
        <v>46185</v>
      </c>
      <c r="E116" s="1">
        <v>46185.735744143516</v>
      </c>
      <c r="F116" s="1">
        <v>46185.744721157411</v>
      </c>
      <c r="G116" s="1">
        <v>46191.435840347222</v>
      </c>
      <c r="H116" s="2">
        <v>46191</v>
      </c>
      <c r="I116">
        <v>11717</v>
      </c>
      <c r="J116" t="s">
        <v>44</v>
      </c>
      <c r="K116">
        <v>241736</v>
      </c>
      <c r="L116" t="s">
        <v>45</v>
      </c>
      <c r="M116" t="s">
        <v>46</v>
      </c>
      <c r="N116" t="s">
        <v>47</v>
      </c>
      <c r="O116" t="s">
        <v>502</v>
      </c>
      <c r="P116">
        <v>17451294437</v>
      </c>
      <c r="Q116" t="s">
        <v>503</v>
      </c>
      <c r="R116" t="s">
        <v>504</v>
      </c>
      <c r="S116" t="s">
        <v>505</v>
      </c>
      <c r="T116" t="s">
        <v>48</v>
      </c>
      <c r="U116" t="s">
        <v>46</v>
      </c>
      <c r="V116" t="s">
        <v>49</v>
      </c>
      <c r="W116" t="s">
        <v>50</v>
      </c>
      <c r="X116">
        <v>10.5</v>
      </c>
      <c r="Y116">
        <v>0.2</v>
      </c>
      <c r="Z116">
        <v>0</v>
      </c>
      <c r="AA116">
        <v>-0.38</v>
      </c>
      <c r="AB116">
        <v>-0.01</v>
      </c>
      <c r="AC116">
        <v>0</v>
      </c>
      <c r="AD116">
        <v>0</v>
      </c>
      <c r="AE116">
        <v>-8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2.31</v>
      </c>
      <c r="AM116">
        <v>0</v>
      </c>
      <c r="AN116">
        <v>0</v>
      </c>
      <c r="AO116">
        <v>2.5</v>
      </c>
      <c r="AP116">
        <v>0</v>
      </c>
      <c r="AQ116">
        <v>0</v>
      </c>
      <c r="AR116">
        <v>587195435</v>
      </c>
    </row>
    <row r="117" spans="1:44" x14ac:dyDescent="0.25">
      <c r="A117" s="1">
        <v>46185.898659930557</v>
      </c>
      <c r="B117" s="2">
        <v>46185</v>
      </c>
      <c r="C117" s="1">
        <v>46185.690326597221</v>
      </c>
      <c r="D117" s="2">
        <v>46185</v>
      </c>
      <c r="E117" s="1">
        <v>46185.624390636571</v>
      </c>
      <c r="F117" s="1">
        <v>46185.690316493055</v>
      </c>
      <c r="G117" s="1">
        <v>46191.435840347222</v>
      </c>
      <c r="H117" s="2">
        <v>46191</v>
      </c>
      <c r="I117">
        <v>11717</v>
      </c>
      <c r="J117" t="s">
        <v>44</v>
      </c>
      <c r="K117">
        <v>241736</v>
      </c>
      <c r="L117" t="s">
        <v>45</v>
      </c>
      <c r="M117" t="s">
        <v>46</v>
      </c>
      <c r="N117" t="s">
        <v>47</v>
      </c>
      <c r="O117" t="s">
        <v>506</v>
      </c>
      <c r="P117">
        <v>17450203191</v>
      </c>
      <c r="Q117" t="s">
        <v>507</v>
      </c>
      <c r="R117" t="s">
        <v>508</v>
      </c>
      <c r="S117" t="s">
        <v>509</v>
      </c>
      <c r="T117" t="s">
        <v>48</v>
      </c>
      <c r="U117" t="s">
        <v>46</v>
      </c>
      <c r="V117" t="s">
        <v>51</v>
      </c>
      <c r="W117" t="s">
        <v>50</v>
      </c>
      <c r="X117">
        <v>47.94</v>
      </c>
      <c r="Y117">
        <v>3.84</v>
      </c>
      <c r="Z117">
        <v>0</v>
      </c>
      <c r="AA117">
        <v>-2.88</v>
      </c>
      <c r="AB117">
        <v>-0.19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48.71</v>
      </c>
      <c r="AM117">
        <v>0</v>
      </c>
      <c r="AN117">
        <v>0</v>
      </c>
      <c r="AO117">
        <v>47.94</v>
      </c>
      <c r="AP117">
        <v>0</v>
      </c>
      <c r="AQ117">
        <v>0</v>
      </c>
      <c r="AR117">
        <v>587195435</v>
      </c>
    </row>
    <row r="118" spans="1:44" x14ac:dyDescent="0.25">
      <c r="A118" s="1">
        <v>46185.861876388888</v>
      </c>
      <c r="B118" s="2">
        <v>46185</v>
      </c>
      <c r="C118" s="1">
        <v>46185.653543055552</v>
      </c>
      <c r="D118" s="2">
        <v>46185</v>
      </c>
      <c r="E118" s="1">
        <v>46185.643457835649</v>
      </c>
      <c r="F118" s="1">
        <v>46185.653530023148</v>
      </c>
      <c r="G118" s="1">
        <v>46191.435840347222</v>
      </c>
      <c r="H118" s="2">
        <v>46191</v>
      </c>
      <c r="I118">
        <v>11717</v>
      </c>
      <c r="J118" t="s">
        <v>44</v>
      </c>
      <c r="K118">
        <v>241736</v>
      </c>
      <c r="L118" t="s">
        <v>45</v>
      </c>
      <c r="M118" t="s">
        <v>46</v>
      </c>
      <c r="N118" t="s">
        <v>47</v>
      </c>
      <c r="O118" t="s">
        <v>510</v>
      </c>
      <c r="P118">
        <v>17449593999</v>
      </c>
      <c r="Q118" t="s">
        <v>511</v>
      </c>
      <c r="R118" t="s">
        <v>512</v>
      </c>
      <c r="S118" t="s">
        <v>513</v>
      </c>
      <c r="T118" t="s">
        <v>48</v>
      </c>
      <c r="U118" t="s">
        <v>46</v>
      </c>
      <c r="V118" t="s">
        <v>49</v>
      </c>
      <c r="W118" t="s">
        <v>50</v>
      </c>
      <c r="X118">
        <v>22.97</v>
      </c>
      <c r="Y118">
        <v>1.84</v>
      </c>
      <c r="Z118">
        <v>0</v>
      </c>
      <c r="AA118">
        <v>-3.45</v>
      </c>
      <c r="AB118">
        <v>-0.09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21.27</v>
      </c>
      <c r="AM118">
        <v>0</v>
      </c>
      <c r="AN118">
        <v>0</v>
      </c>
      <c r="AO118">
        <v>22.97</v>
      </c>
      <c r="AP118">
        <v>0</v>
      </c>
      <c r="AQ118">
        <v>0</v>
      </c>
      <c r="AR118">
        <v>587195435</v>
      </c>
    </row>
    <row r="119" spans="1:44" x14ac:dyDescent="0.25">
      <c r="A119" s="1">
        <v>46185.030841481479</v>
      </c>
      <c r="B119" s="2">
        <v>46185</v>
      </c>
      <c r="C119" s="1">
        <v>46184.822508148151</v>
      </c>
      <c r="D119" s="2">
        <v>46184</v>
      </c>
      <c r="E119" s="1">
        <v>46184.812734918982</v>
      </c>
      <c r="F119" s="1">
        <v>46184.822490104169</v>
      </c>
      <c r="G119" s="1">
        <v>46191.435840347222</v>
      </c>
      <c r="H119" s="2">
        <v>46191</v>
      </c>
      <c r="I119">
        <v>11717</v>
      </c>
      <c r="J119" t="s">
        <v>44</v>
      </c>
      <c r="K119">
        <v>241736</v>
      </c>
      <c r="L119" t="s">
        <v>45</v>
      </c>
      <c r="M119" t="s">
        <v>46</v>
      </c>
      <c r="N119" t="s">
        <v>47</v>
      </c>
      <c r="O119" s="3" t="s">
        <v>514</v>
      </c>
      <c r="P119">
        <v>17441267262</v>
      </c>
      <c r="Q119" t="s">
        <v>515</v>
      </c>
      <c r="R119" t="s">
        <v>516</v>
      </c>
      <c r="S119" t="s">
        <v>517</v>
      </c>
      <c r="T119" t="s">
        <v>48</v>
      </c>
      <c r="U119" t="s">
        <v>46</v>
      </c>
      <c r="V119" t="s">
        <v>49</v>
      </c>
      <c r="W119" t="s">
        <v>50</v>
      </c>
      <c r="X119">
        <v>8.75</v>
      </c>
      <c r="Y119">
        <v>0.7</v>
      </c>
      <c r="Z119">
        <v>0</v>
      </c>
      <c r="AA119">
        <v>-1.31</v>
      </c>
      <c r="AB119">
        <v>-0.03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8.11</v>
      </c>
      <c r="AM119">
        <v>0</v>
      </c>
      <c r="AN119">
        <v>0</v>
      </c>
      <c r="AO119">
        <v>8.75</v>
      </c>
      <c r="AP119">
        <v>0</v>
      </c>
      <c r="AQ119">
        <v>0</v>
      </c>
      <c r="AR119">
        <v>587195435</v>
      </c>
    </row>
    <row r="120" spans="1:44" x14ac:dyDescent="0.25">
      <c r="A120" s="1">
        <v>46185.030053981478</v>
      </c>
      <c r="B120" s="2">
        <v>46185</v>
      </c>
      <c r="C120" s="1">
        <v>46184.821720648149</v>
      </c>
      <c r="D120" s="2">
        <v>46184</v>
      </c>
      <c r="E120" s="1">
        <v>46184.811986944442</v>
      </c>
      <c r="F120" s="1">
        <v>46184.821707060182</v>
      </c>
      <c r="G120" s="1">
        <v>46191.435840347222</v>
      </c>
      <c r="H120" s="2">
        <v>46191</v>
      </c>
      <c r="I120">
        <v>11717</v>
      </c>
      <c r="J120" t="s">
        <v>44</v>
      </c>
      <c r="K120">
        <v>241736</v>
      </c>
      <c r="L120" t="s">
        <v>45</v>
      </c>
      <c r="M120" t="s">
        <v>46</v>
      </c>
      <c r="N120" t="s">
        <v>47</v>
      </c>
      <c r="O120" t="s">
        <v>518</v>
      </c>
      <c r="P120">
        <v>17441249968</v>
      </c>
      <c r="Q120" t="s">
        <v>519</v>
      </c>
      <c r="R120" t="s">
        <v>520</v>
      </c>
      <c r="S120" t="s">
        <v>521</v>
      </c>
      <c r="T120" t="s">
        <v>48</v>
      </c>
      <c r="U120" t="s">
        <v>46</v>
      </c>
      <c r="V120" t="s">
        <v>49</v>
      </c>
      <c r="W120" t="s">
        <v>50</v>
      </c>
      <c r="X120">
        <v>48.92</v>
      </c>
      <c r="Y120">
        <v>3.91</v>
      </c>
      <c r="Z120">
        <v>0</v>
      </c>
      <c r="AA120">
        <v>-7.34</v>
      </c>
      <c r="AB120">
        <v>-0.19</v>
      </c>
      <c r="AC120">
        <v>0</v>
      </c>
      <c r="AD120">
        <v>0</v>
      </c>
      <c r="AE120">
        <v>0</v>
      </c>
      <c r="AF120">
        <v>-1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45.3</v>
      </c>
      <c r="AM120">
        <v>0</v>
      </c>
      <c r="AN120">
        <v>0</v>
      </c>
      <c r="AO120">
        <v>48.92</v>
      </c>
      <c r="AP120">
        <v>0</v>
      </c>
      <c r="AQ120">
        <v>0</v>
      </c>
      <c r="AR120">
        <v>587195435</v>
      </c>
    </row>
    <row r="121" spans="1:44" x14ac:dyDescent="0.25">
      <c r="A121" s="1">
        <v>46185.007306666666</v>
      </c>
      <c r="B121" s="2">
        <v>46185</v>
      </c>
      <c r="C121" s="1">
        <v>46184.798973333331</v>
      </c>
      <c r="D121" s="2">
        <v>46184</v>
      </c>
      <c r="E121" s="1">
        <v>46184.787741365741</v>
      </c>
      <c r="F121" s="1">
        <v>46184.798959583335</v>
      </c>
      <c r="G121" s="1">
        <v>46191.435840347222</v>
      </c>
      <c r="H121" s="2">
        <v>46191</v>
      </c>
      <c r="I121">
        <v>11717</v>
      </c>
      <c r="J121" t="s">
        <v>44</v>
      </c>
      <c r="K121">
        <v>241736</v>
      </c>
      <c r="L121" t="s">
        <v>45</v>
      </c>
      <c r="M121" t="s">
        <v>46</v>
      </c>
      <c r="N121" t="s">
        <v>47</v>
      </c>
      <c r="O121" t="s">
        <v>522</v>
      </c>
      <c r="P121">
        <v>17440732029</v>
      </c>
      <c r="Q121" t="s">
        <v>523</v>
      </c>
      <c r="R121" t="s">
        <v>524</v>
      </c>
      <c r="S121" t="s">
        <v>525</v>
      </c>
      <c r="T121" t="s">
        <v>48</v>
      </c>
      <c r="U121" t="s">
        <v>46</v>
      </c>
      <c r="V121" t="s">
        <v>49</v>
      </c>
      <c r="W121" t="s">
        <v>50</v>
      </c>
      <c r="X121">
        <v>14.09</v>
      </c>
      <c r="Y121">
        <v>1.1299999999999999</v>
      </c>
      <c r="Z121">
        <v>0</v>
      </c>
      <c r="AA121">
        <v>-2.11</v>
      </c>
      <c r="AB121">
        <v>-0.06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13.05</v>
      </c>
      <c r="AM121">
        <v>0</v>
      </c>
      <c r="AN121">
        <v>0</v>
      </c>
      <c r="AO121">
        <v>14.09</v>
      </c>
      <c r="AP121">
        <v>0</v>
      </c>
      <c r="AQ121">
        <v>0</v>
      </c>
      <c r="AR121">
        <v>587195435</v>
      </c>
    </row>
    <row r="122" spans="1:44" x14ac:dyDescent="0.25">
      <c r="A122" s="1">
        <v>46184.96202431713</v>
      </c>
      <c r="B122" s="2">
        <v>46184</v>
      </c>
      <c r="C122" s="1">
        <v>46184.753690983795</v>
      </c>
      <c r="D122" s="2">
        <v>46184</v>
      </c>
      <c r="E122" s="1">
        <v>46184.745883587966</v>
      </c>
      <c r="F122" s="1">
        <v>46184.753676886576</v>
      </c>
      <c r="G122" s="1">
        <v>46191.435840347222</v>
      </c>
      <c r="H122" s="2">
        <v>46191</v>
      </c>
      <c r="I122">
        <v>11717</v>
      </c>
      <c r="J122" t="s">
        <v>44</v>
      </c>
      <c r="K122">
        <v>241736</v>
      </c>
      <c r="L122" t="s">
        <v>45</v>
      </c>
      <c r="M122" t="s">
        <v>46</v>
      </c>
      <c r="N122" t="s">
        <v>47</v>
      </c>
      <c r="O122" t="s">
        <v>526</v>
      </c>
      <c r="P122">
        <v>17439731569</v>
      </c>
      <c r="Q122" t="s">
        <v>527</v>
      </c>
      <c r="R122" t="s">
        <v>528</v>
      </c>
      <c r="S122" t="s">
        <v>529</v>
      </c>
      <c r="T122" t="s">
        <v>48</v>
      </c>
      <c r="U122" t="s">
        <v>46</v>
      </c>
      <c r="V122" t="s">
        <v>49</v>
      </c>
      <c r="W122" t="s">
        <v>50</v>
      </c>
      <c r="X122">
        <v>19.48</v>
      </c>
      <c r="Y122">
        <v>1.56</v>
      </c>
      <c r="Z122">
        <v>0</v>
      </c>
      <c r="AA122">
        <v>-2.92</v>
      </c>
      <c r="AB122">
        <v>-0.08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18.04</v>
      </c>
      <c r="AM122">
        <v>0</v>
      </c>
      <c r="AN122">
        <v>0</v>
      </c>
      <c r="AO122">
        <v>19.48</v>
      </c>
      <c r="AP122">
        <v>0</v>
      </c>
      <c r="AQ122">
        <v>0</v>
      </c>
      <c r="AR122">
        <v>587195435</v>
      </c>
    </row>
    <row r="123" spans="1:44" x14ac:dyDescent="0.25">
      <c r="A123" s="1">
        <v>46184.79515445602</v>
      </c>
      <c r="B123" s="2">
        <v>46184</v>
      </c>
      <c r="C123" s="1">
        <v>46184.586821122684</v>
      </c>
      <c r="D123" s="2">
        <v>46184</v>
      </c>
      <c r="E123" s="1">
        <v>46184.566891342591</v>
      </c>
      <c r="F123" s="1">
        <v>46184.586810995374</v>
      </c>
      <c r="G123" s="1">
        <v>46191.435840347222</v>
      </c>
      <c r="H123" s="2">
        <v>46191</v>
      </c>
      <c r="I123">
        <v>11717</v>
      </c>
      <c r="J123" t="s">
        <v>44</v>
      </c>
      <c r="K123">
        <v>241736</v>
      </c>
      <c r="L123" t="s">
        <v>45</v>
      </c>
      <c r="M123" t="s">
        <v>46</v>
      </c>
      <c r="N123" t="s">
        <v>47</v>
      </c>
      <c r="O123" t="s">
        <v>530</v>
      </c>
      <c r="P123">
        <v>17436984043</v>
      </c>
      <c r="Q123" s="3" t="s">
        <v>531</v>
      </c>
      <c r="R123" t="s">
        <v>532</v>
      </c>
      <c r="S123" t="s">
        <v>533</v>
      </c>
      <c r="T123" t="s">
        <v>48</v>
      </c>
      <c r="U123" t="s">
        <v>46</v>
      </c>
      <c r="V123" t="s">
        <v>51</v>
      </c>
      <c r="W123" t="s">
        <v>50</v>
      </c>
      <c r="X123">
        <v>42.2</v>
      </c>
      <c r="Y123">
        <v>3.38</v>
      </c>
      <c r="Z123">
        <v>0</v>
      </c>
      <c r="AA123">
        <v>-2.5299999999999998</v>
      </c>
      <c r="AB123">
        <v>-0.17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42.88</v>
      </c>
      <c r="AM123">
        <v>0</v>
      </c>
      <c r="AN123">
        <v>0</v>
      </c>
      <c r="AO123">
        <v>42.2</v>
      </c>
      <c r="AP123">
        <v>0</v>
      </c>
      <c r="AQ123">
        <v>0</v>
      </c>
      <c r="AR123">
        <v>587195435</v>
      </c>
    </row>
    <row r="124" spans="1:44" x14ac:dyDescent="0.25">
      <c r="A124" s="1">
        <v>46184.68379815972</v>
      </c>
      <c r="B124" s="2">
        <v>46184</v>
      </c>
      <c r="C124" s="1">
        <v>46184.475464826392</v>
      </c>
      <c r="D124" s="2">
        <v>46184</v>
      </c>
      <c r="E124" s="1">
        <v>46184.470269155092</v>
      </c>
      <c r="F124" s="1">
        <v>46184.475452222221</v>
      </c>
      <c r="G124" s="1">
        <v>46191.435840347222</v>
      </c>
      <c r="H124" s="2">
        <v>46191</v>
      </c>
      <c r="I124">
        <v>11717</v>
      </c>
      <c r="J124" t="s">
        <v>44</v>
      </c>
      <c r="K124">
        <v>241736</v>
      </c>
      <c r="L124" t="s">
        <v>45</v>
      </c>
      <c r="M124" t="s">
        <v>46</v>
      </c>
      <c r="N124" t="s">
        <v>47</v>
      </c>
      <c r="O124" t="s">
        <v>534</v>
      </c>
      <c r="P124">
        <v>17435184513</v>
      </c>
      <c r="Q124" t="s">
        <v>535</v>
      </c>
      <c r="R124" t="s">
        <v>536</v>
      </c>
      <c r="S124" t="s">
        <v>537</v>
      </c>
      <c r="T124" t="s">
        <v>48</v>
      </c>
      <c r="U124" t="s">
        <v>46</v>
      </c>
      <c r="V124" t="s">
        <v>49</v>
      </c>
      <c r="W124" t="s">
        <v>50</v>
      </c>
      <c r="X124">
        <v>18.89</v>
      </c>
      <c r="Y124">
        <v>1.51</v>
      </c>
      <c r="Z124">
        <v>0</v>
      </c>
      <c r="AA124">
        <v>-2.83</v>
      </c>
      <c r="AB124">
        <v>-7.0000000000000007E-2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17.5</v>
      </c>
      <c r="AM124">
        <v>0</v>
      </c>
      <c r="AN124">
        <v>0</v>
      </c>
      <c r="AO124">
        <v>18.89</v>
      </c>
      <c r="AP124">
        <v>0</v>
      </c>
      <c r="AQ124">
        <v>0</v>
      </c>
      <c r="AR124">
        <v>587195435</v>
      </c>
    </row>
    <row r="125" spans="1:44" x14ac:dyDescent="0.25">
      <c r="A125" s="1">
        <v>46184.67483275463</v>
      </c>
      <c r="B125" s="2">
        <v>46184</v>
      </c>
      <c r="C125" s="1">
        <v>46184.466499421294</v>
      </c>
      <c r="D125" s="2">
        <v>46184</v>
      </c>
      <c r="E125" s="1">
        <v>46184.454403645832</v>
      </c>
      <c r="F125" s="1">
        <v>46184.466488067126</v>
      </c>
      <c r="G125" s="1">
        <v>46191.435840347222</v>
      </c>
      <c r="H125" s="2">
        <v>46191</v>
      </c>
      <c r="I125">
        <v>11717</v>
      </c>
      <c r="J125" t="s">
        <v>44</v>
      </c>
      <c r="K125">
        <v>241736</v>
      </c>
      <c r="L125" t="s">
        <v>45</v>
      </c>
      <c r="M125" t="s">
        <v>46</v>
      </c>
      <c r="N125" t="s">
        <v>47</v>
      </c>
      <c r="O125" t="s">
        <v>538</v>
      </c>
      <c r="P125">
        <v>17435048427</v>
      </c>
      <c r="Q125" t="s">
        <v>539</v>
      </c>
      <c r="R125" t="s">
        <v>540</v>
      </c>
      <c r="S125" t="s">
        <v>541</v>
      </c>
      <c r="T125" t="s">
        <v>48</v>
      </c>
      <c r="U125" t="s">
        <v>46</v>
      </c>
      <c r="V125" t="s">
        <v>49</v>
      </c>
      <c r="W125" t="s">
        <v>50</v>
      </c>
      <c r="X125">
        <v>16.18</v>
      </c>
      <c r="Y125">
        <v>1.29</v>
      </c>
      <c r="Z125">
        <v>0</v>
      </c>
      <c r="AA125">
        <v>-2.4300000000000002</v>
      </c>
      <c r="AB125">
        <v>-0.06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14.98</v>
      </c>
      <c r="AM125">
        <v>0</v>
      </c>
      <c r="AN125">
        <v>0</v>
      </c>
      <c r="AO125">
        <v>16.18</v>
      </c>
      <c r="AP125">
        <v>0</v>
      </c>
      <c r="AQ125">
        <v>0</v>
      </c>
      <c r="AR125">
        <v>587195435</v>
      </c>
    </row>
    <row r="126" spans="1:44" x14ac:dyDescent="0.25">
      <c r="A126" s="1">
        <v>46183.957959918982</v>
      </c>
      <c r="B126" s="2">
        <v>46183</v>
      </c>
      <c r="C126" s="1">
        <v>46183.749626585646</v>
      </c>
      <c r="D126" s="2">
        <v>46183</v>
      </c>
      <c r="E126" s="1">
        <v>46183.74189902778</v>
      </c>
      <c r="F126" s="1">
        <v>46183.749612210646</v>
      </c>
      <c r="G126" s="1">
        <v>46191.435840347222</v>
      </c>
      <c r="H126" s="2">
        <v>46191</v>
      </c>
      <c r="I126">
        <v>11717</v>
      </c>
      <c r="J126" t="s">
        <v>44</v>
      </c>
      <c r="K126">
        <v>241736</v>
      </c>
      <c r="L126" t="s">
        <v>45</v>
      </c>
      <c r="M126" t="s">
        <v>46</v>
      </c>
      <c r="N126" t="s">
        <v>47</v>
      </c>
      <c r="O126" t="s">
        <v>542</v>
      </c>
      <c r="P126">
        <v>17428435828</v>
      </c>
      <c r="Q126" t="s">
        <v>543</v>
      </c>
      <c r="R126" t="s">
        <v>544</v>
      </c>
      <c r="S126" t="s">
        <v>545</v>
      </c>
      <c r="T126" t="s">
        <v>48</v>
      </c>
      <c r="U126" t="s">
        <v>46</v>
      </c>
      <c r="V126" t="s">
        <v>49</v>
      </c>
      <c r="W126" t="s">
        <v>50</v>
      </c>
      <c r="X126">
        <v>48.74</v>
      </c>
      <c r="Y126">
        <v>3.9</v>
      </c>
      <c r="Z126">
        <v>0</v>
      </c>
      <c r="AA126">
        <v>-7.31</v>
      </c>
      <c r="AB126">
        <v>-0.19</v>
      </c>
      <c r="AC126">
        <v>0</v>
      </c>
      <c r="AD126">
        <v>0</v>
      </c>
      <c r="AE126">
        <v>0</v>
      </c>
      <c r="AF126">
        <v>-1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45.14</v>
      </c>
      <c r="AM126">
        <v>0</v>
      </c>
      <c r="AN126">
        <v>0</v>
      </c>
      <c r="AO126">
        <v>48.74</v>
      </c>
      <c r="AP126">
        <v>0</v>
      </c>
      <c r="AQ126">
        <v>0</v>
      </c>
      <c r="AR126">
        <v>587195435</v>
      </c>
    </row>
    <row r="127" spans="1:44" x14ac:dyDescent="0.25">
      <c r="A127" s="1">
        <v>46183.941896122684</v>
      </c>
      <c r="B127" s="2">
        <v>46183</v>
      </c>
      <c r="C127" s="1">
        <v>46183.733562789355</v>
      </c>
      <c r="D127" s="2">
        <v>46183</v>
      </c>
      <c r="E127" s="1">
        <v>46183.726570798608</v>
      </c>
      <c r="F127" s="1">
        <v>46183.733550127312</v>
      </c>
      <c r="G127" s="1">
        <v>46191.435840347222</v>
      </c>
      <c r="H127" s="2">
        <v>46191</v>
      </c>
      <c r="I127">
        <v>11717</v>
      </c>
      <c r="J127" t="s">
        <v>44</v>
      </c>
      <c r="K127">
        <v>241736</v>
      </c>
      <c r="L127" t="s">
        <v>45</v>
      </c>
      <c r="M127" t="s">
        <v>46</v>
      </c>
      <c r="N127" t="s">
        <v>47</v>
      </c>
      <c r="O127" t="s">
        <v>546</v>
      </c>
      <c r="P127">
        <v>17428120473</v>
      </c>
      <c r="Q127" t="s">
        <v>547</v>
      </c>
      <c r="R127" t="s">
        <v>548</v>
      </c>
      <c r="S127" t="s">
        <v>549</v>
      </c>
      <c r="T127" t="s">
        <v>48</v>
      </c>
      <c r="U127" t="s">
        <v>46</v>
      </c>
      <c r="V127" t="s">
        <v>49</v>
      </c>
      <c r="W127" t="s">
        <v>50</v>
      </c>
      <c r="X127">
        <v>23.53</v>
      </c>
      <c r="Y127">
        <v>1.88</v>
      </c>
      <c r="Z127">
        <v>0</v>
      </c>
      <c r="AA127">
        <v>-3.53</v>
      </c>
      <c r="AB127">
        <v>-0.09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21.79</v>
      </c>
      <c r="AM127">
        <v>0</v>
      </c>
      <c r="AN127">
        <v>0</v>
      </c>
      <c r="AO127">
        <v>23.53</v>
      </c>
      <c r="AP127">
        <v>0</v>
      </c>
      <c r="AQ127">
        <v>0</v>
      </c>
      <c r="AR127">
        <v>587195435</v>
      </c>
    </row>
    <row r="128" spans="1:44" x14ac:dyDescent="0.25">
      <c r="A128" s="1">
        <v>46183.925716342594</v>
      </c>
      <c r="B128" s="2">
        <v>46183</v>
      </c>
      <c r="C128" s="1">
        <v>46183.717383009258</v>
      </c>
      <c r="D128" s="2">
        <v>46183</v>
      </c>
      <c r="E128" s="1">
        <v>46183.70957885417</v>
      </c>
      <c r="F128" s="1">
        <v>46183.717371712963</v>
      </c>
      <c r="G128" s="1">
        <v>46191.435840347222</v>
      </c>
      <c r="H128" s="2">
        <v>46191</v>
      </c>
      <c r="I128">
        <v>11717</v>
      </c>
      <c r="J128" t="s">
        <v>44</v>
      </c>
      <c r="K128">
        <v>241736</v>
      </c>
      <c r="L128" t="s">
        <v>45</v>
      </c>
      <c r="M128" t="s">
        <v>46</v>
      </c>
      <c r="N128" t="s">
        <v>47</v>
      </c>
      <c r="O128" t="s">
        <v>550</v>
      </c>
      <c r="P128">
        <v>17427816018</v>
      </c>
      <c r="Q128" t="s">
        <v>551</v>
      </c>
      <c r="R128" t="s">
        <v>552</v>
      </c>
      <c r="S128" t="s">
        <v>553</v>
      </c>
      <c r="T128" t="s">
        <v>48</v>
      </c>
      <c r="U128" t="s">
        <v>46</v>
      </c>
      <c r="V128" t="s">
        <v>49</v>
      </c>
      <c r="W128" t="s">
        <v>50</v>
      </c>
      <c r="X128">
        <v>24.23</v>
      </c>
      <c r="Y128">
        <v>1.94</v>
      </c>
      <c r="Z128">
        <v>0</v>
      </c>
      <c r="AA128">
        <v>-3.63</v>
      </c>
      <c r="AB128">
        <v>-0.1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22.44</v>
      </c>
      <c r="AM128">
        <v>0</v>
      </c>
      <c r="AN128">
        <v>0</v>
      </c>
      <c r="AO128">
        <v>24.23</v>
      </c>
      <c r="AP128">
        <v>0</v>
      </c>
      <c r="AQ128">
        <v>0</v>
      </c>
      <c r="AR128">
        <v>587195435</v>
      </c>
    </row>
    <row r="129" spans="1:44" x14ac:dyDescent="0.25">
      <c r="A129" s="1">
        <v>46183.899448229167</v>
      </c>
      <c r="B129" s="2">
        <v>46183</v>
      </c>
      <c r="C129" s="1">
        <v>46183.691114895832</v>
      </c>
      <c r="D129" s="2">
        <v>46183</v>
      </c>
      <c r="E129" s="1">
        <v>46183.682290775461</v>
      </c>
      <c r="F129" s="1">
        <v>46183.691103506942</v>
      </c>
      <c r="G129" s="1">
        <v>46191.435840347222</v>
      </c>
      <c r="H129" s="2">
        <v>46191</v>
      </c>
      <c r="I129">
        <v>11717</v>
      </c>
      <c r="J129" t="s">
        <v>44</v>
      </c>
      <c r="K129">
        <v>241736</v>
      </c>
      <c r="L129" t="s">
        <v>45</v>
      </c>
      <c r="M129" t="s">
        <v>46</v>
      </c>
      <c r="N129" t="s">
        <v>47</v>
      </c>
      <c r="O129" t="s">
        <v>554</v>
      </c>
      <c r="P129">
        <v>17427363103</v>
      </c>
      <c r="Q129" t="s">
        <v>555</v>
      </c>
      <c r="R129" t="s">
        <v>556</v>
      </c>
      <c r="S129" t="s">
        <v>557</v>
      </c>
      <c r="T129" t="s">
        <v>48</v>
      </c>
      <c r="U129" t="s">
        <v>46</v>
      </c>
      <c r="V129" t="s">
        <v>49</v>
      </c>
      <c r="W129" t="s">
        <v>50</v>
      </c>
      <c r="X129">
        <v>33.08</v>
      </c>
      <c r="Y129">
        <v>2.65</v>
      </c>
      <c r="Z129">
        <v>0</v>
      </c>
      <c r="AA129">
        <v>-4.96</v>
      </c>
      <c r="AB129">
        <v>-0.13</v>
      </c>
      <c r="AC129">
        <v>0</v>
      </c>
      <c r="AD129">
        <v>0</v>
      </c>
      <c r="AE129">
        <v>0</v>
      </c>
      <c r="AF129">
        <v>-2.99</v>
      </c>
      <c r="AG129">
        <v>0</v>
      </c>
      <c r="AH129">
        <v>2.99</v>
      </c>
      <c r="AI129">
        <v>0</v>
      </c>
      <c r="AJ129">
        <v>0</v>
      </c>
      <c r="AK129">
        <v>0</v>
      </c>
      <c r="AL129">
        <v>30.64</v>
      </c>
      <c r="AM129">
        <v>0</v>
      </c>
      <c r="AN129">
        <v>0</v>
      </c>
      <c r="AO129">
        <v>33.08</v>
      </c>
      <c r="AP129">
        <v>0</v>
      </c>
      <c r="AQ129">
        <v>0</v>
      </c>
      <c r="AR129">
        <v>587195435</v>
      </c>
    </row>
    <row r="130" spans="1:44" x14ac:dyDescent="0.25">
      <c r="A130" s="1">
        <v>46183.726804351849</v>
      </c>
      <c r="B130" s="2">
        <v>46183</v>
      </c>
      <c r="C130" s="1">
        <v>46183.51847101852</v>
      </c>
      <c r="D130" s="2">
        <v>46183</v>
      </c>
      <c r="E130" s="1">
        <v>46183.50083877315</v>
      </c>
      <c r="F130" s="1">
        <v>46183.518462650463</v>
      </c>
      <c r="G130" s="1">
        <v>46191.435840347222</v>
      </c>
      <c r="H130" s="2">
        <v>46191</v>
      </c>
      <c r="I130">
        <v>11717</v>
      </c>
      <c r="J130" t="s">
        <v>44</v>
      </c>
      <c r="K130">
        <v>241736</v>
      </c>
      <c r="L130" t="s">
        <v>45</v>
      </c>
      <c r="M130" t="s">
        <v>46</v>
      </c>
      <c r="N130" t="s">
        <v>47</v>
      </c>
      <c r="O130" t="s">
        <v>558</v>
      </c>
      <c r="P130">
        <v>17424732874</v>
      </c>
      <c r="Q130" t="s">
        <v>559</v>
      </c>
      <c r="R130" t="s">
        <v>560</v>
      </c>
      <c r="S130" t="s">
        <v>561</v>
      </c>
      <c r="T130" t="s">
        <v>48</v>
      </c>
      <c r="U130" t="s">
        <v>46</v>
      </c>
      <c r="V130" t="s">
        <v>51</v>
      </c>
      <c r="W130" t="s">
        <v>50</v>
      </c>
      <c r="X130">
        <v>54.46</v>
      </c>
      <c r="Y130">
        <v>4.3600000000000003</v>
      </c>
      <c r="Z130">
        <v>8.82</v>
      </c>
      <c r="AA130">
        <v>-3.27</v>
      </c>
      <c r="AB130">
        <v>-0.22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64.150000000000006</v>
      </c>
      <c r="AM130">
        <v>0</v>
      </c>
      <c r="AN130">
        <v>0</v>
      </c>
      <c r="AO130">
        <v>54.46</v>
      </c>
      <c r="AP130">
        <v>0</v>
      </c>
      <c r="AQ130">
        <v>0</v>
      </c>
      <c r="AR130">
        <v>587195435</v>
      </c>
    </row>
    <row r="131" spans="1:44" x14ac:dyDescent="0.25">
      <c r="A131" s="1">
        <v>46182.955473518516</v>
      </c>
      <c r="B131" s="2">
        <v>46182</v>
      </c>
      <c r="C131" s="1">
        <v>46182.747140185187</v>
      </c>
      <c r="D131" s="2">
        <v>46182</v>
      </c>
      <c r="E131" s="1">
        <v>46182.738943460645</v>
      </c>
      <c r="F131" s="1">
        <v>46182.747125868053</v>
      </c>
      <c r="G131" s="1">
        <v>46191.435840347222</v>
      </c>
      <c r="H131" s="2">
        <v>46191</v>
      </c>
      <c r="I131">
        <v>11717</v>
      </c>
      <c r="J131" t="s">
        <v>44</v>
      </c>
      <c r="K131">
        <v>241736</v>
      </c>
      <c r="L131" t="s">
        <v>45</v>
      </c>
      <c r="M131" t="s">
        <v>46</v>
      </c>
      <c r="N131" t="s">
        <v>47</v>
      </c>
      <c r="O131" t="s">
        <v>562</v>
      </c>
      <c r="P131">
        <v>17417654762</v>
      </c>
      <c r="Q131" t="s">
        <v>563</v>
      </c>
      <c r="R131" t="s">
        <v>564</v>
      </c>
      <c r="S131" t="s">
        <v>565</v>
      </c>
      <c r="T131" t="s">
        <v>48</v>
      </c>
      <c r="U131" t="s">
        <v>46</v>
      </c>
      <c r="V131" t="s">
        <v>49</v>
      </c>
      <c r="W131" t="s">
        <v>50</v>
      </c>
      <c r="X131">
        <v>43.16</v>
      </c>
      <c r="Y131">
        <v>3.45</v>
      </c>
      <c r="Z131">
        <v>0</v>
      </c>
      <c r="AA131">
        <v>-6.47</v>
      </c>
      <c r="AB131">
        <v>-0.17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39.97</v>
      </c>
      <c r="AM131">
        <v>0</v>
      </c>
      <c r="AN131">
        <v>0</v>
      </c>
      <c r="AO131">
        <v>43.16</v>
      </c>
      <c r="AP131">
        <v>0</v>
      </c>
      <c r="AQ131">
        <v>0</v>
      </c>
      <c r="AR131">
        <v>587195435</v>
      </c>
    </row>
    <row r="132" spans="1:44" x14ac:dyDescent="0.25">
      <c r="A132" s="1">
        <v>46182.941668136576</v>
      </c>
      <c r="B132" s="2">
        <v>46182</v>
      </c>
      <c r="C132" s="1">
        <v>46182.733334803241</v>
      </c>
      <c r="D132" s="2">
        <v>46182</v>
      </c>
      <c r="E132" s="1">
        <v>46182.72639866898</v>
      </c>
      <c r="F132" s="1">
        <v>46182.733322893517</v>
      </c>
      <c r="G132" s="1">
        <v>46191.435840347222</v>
      </c>
      <c r="H132" s="2">
        <v>46191</v>
      </c>
      <c r="I132">
        <v>11717</v>
      </c>
      <c r="J132" t="s">
        <v>44</v>
      </c>
      <c r="K132">
        <v>241736</v>
      </c>
      <c r="L132" t="s">
        <v>45</v>
      </c>
      <c r="M132" t="s">
        <v>46</v>
      </c>
      <c r="N132" t="s">
        <v>47</v>
      </c>
      <c r="O132" t="s">
        <v>566</v>
      </c>
      <c r="P132">
        <v>17417398821</v>
      </c>
      <c r="Q132" t="s">
        <v>567</v>
      </c>
      <c r="R132" t="s">
        <v>568</v>
      </c>
      <c r="S132" t="s">
        <v>569</v>
      </c>
      <c r="T132" t="s">
        <v>48</v>
      </c>
      <c r="U132" t="s">
        <v>46</v>
      </c>
      <c r="V132" t="s">
        <v>49</v>
      </c>
      <c r="W132" t="s">
        <v>50</v>
      </c>
      <c r="X132">
        <v>21.49</v>
      </c>
      <c r="Y132">
        <v>1.72</v>
      </c>
      <c r="Z132">
        <v>0</v>
      </c>
      <c r="AA132">
        <v>-3.22</v>
      </c>
      <c r="AB132">
        <v>-0.08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19.91</v>
      </c>
      <c r="AM132">
        <v>0</v>
      </c>
      <c r="AN132">
        <v>0</v>
      </c>
      <c r="AO132">
        <v>21.49</v>
      </c>
      <c r="AP132">
        <v>0</v>
      </c>
      <c r="AQ132">
        <v>0</v>
      </c>
      <c r="AR132">
        <v>587195435</v>
      </c>
    </row>
    <row r="133" spans="1:44" x14ac:dyDescent="0.25">
      <c r="A133" s="1">
        <v>46182.768545995372</v>
      </c>
      <c r="B133" s="2">
        <v>46182</v>
      </c>
      <c r="C133" s="1">
        <v>46182.560212662036</v>
      </c>
      <c r="D133" s="2">
        <v>46182</v>
      </c>
      <c r="E133" s="1">
        <v>46182.551182835647</v>
      </c>
      <c r="F133" s="1">
        <v>46182.560200763888</v>
      </c>
      <c r="G133" s="1">
        <v>46191.435840347222</v>
      </c>
      <c r="H133" s="2">
        <v>46191</v>
      </c>
      <c r="I133">
        <v>11717</v>
      </c>
      <c r="J133" t="s">
        <v>44</v>
      </c>
      <c r="K133">
        <v>241736</v>
      </c>
      <c r="L133" t="s">
        <v>45</v>
      </c>
      <c r="M133" t="s">
        <v>46</v>
      </c>
      <c r="N133" t="s">
        <v>47</v>
      </c>
      <c r="O133" t="s">
        <v>570</v>
      </c>
      <c r="P133">
        <v>17414812278</v>
      </c>
      <c r="Q133">
        <v>40516341</v>
      </c>
      <c r="R133" s="3" t="s">
        <v>571</v>
      </c>
      <c r="S133" t="s">
        <v>572</v>
      </c>
      <c r="T133" t="s">
        <v>48</v>
      </c>
      <c r="U133" t="s">
        <v>46</v>
      </c>
      <c r="V133" t="s">
        <v>49</v>
      </c>
      <c r="W133" t="s">
        <v>50</v>
      </c>
      <c r="X133">
        <v>9.49</v>
      </c>
      <c r="Y133">
        <v>0.12</v>
      </c>
      <c r="Z133">
        <v>0</v>
      </c>
      <c r="AA133">
        <v>-0.22</v>
      </c>
      <c r="AB133">
        <v>-0.01</v>
      </c>
      <c r="AC133">
        <v>0</v>
      </c>
      <c r="AD133">
        <v>0</v>
      </c>
      <c r="AE133">
        <v>-8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1.38</v>
      </c>
      <c r="AM133">
        <v>0</v>
      </c>
      <c r="AN133">
        <v>0</v>
      </c>
      <c r="AO133">
        <v>1.49</v>
      </c>
      <c r="AP133">
        <v>0</v>
      </c>
      <c r="AQ133">
        <v>0</v>
      </c>
      <c r="AR133">
        <v>587195435</v>
      </c>
    </row>
    <row r="134" spans="1:44" x14ac:dyDescent="0.25">
      <c r="A134" s="1">
        <v>46182.750597916667</v>
      </c>
      <c r="B134" s="2">
        <v>46182</v>
      </c>
      <c r="C134" s="1">
        <v>46182.542264583331</v>
      </c>
      <c r="D134" s="2">
        <v>46182</v>
      </c>
      <c r="E134" s="1">
        <v>46182.533380474539</v>
      </c>
      <c r="F134" s="1">
        <v>46182.542251527775</v>
      </c>
      <c r="G134" s="1">
        <v>46191.435840347222</v>
      </c>
      <c r="H134" s="2">
        <v>46191</v>
      </c>
      <c r="I134">
        <v>11717</v>
      </c>
      <c r="J134" t="s">
        <v>44</v>
      </c>
      <c r="K134">
        <v>241736</v>
      </c>
      <c r="L134" t="s">
        <v>45</v>
      </c>
      <c r="M134" t="s">
        <v>46</v>
      </c>
      <c r="N134" t="s">
        <v>47</v>
      </c>
      <c r="O134" t="s">
        <v>573</v>
      </c>
      <c r="P134">
        <v>17414547685</v>
      </c>
      <c r="Q134" t="s">
        <v>574</v>
      </c>
      <c r="R134" t="s">
        <v>575</v>
      </c>
      <c r="S134" t="s">
        <v>576</v>
      </c>
      <c r="T134" t="s">
        <v>48</v>
      </c>
      <c r="U134" t="s">
        <v>46</v>
      </c>
      <c r="V134" t="s">
        <v>49</v>
      </c>
      <c r="W134" t="s">
        <v>50</v>
      </c>
      <c r="X134">
        <v>45.05</v>
      </c>
      <c r="Y134">
        <v>3.6</v>
      </c>
      <c r="Z134">
        <v>0</v>
      </c>
      <c r="AA134">
        <v>-6.76</v>
      </c>
      <c r="AB134">
        <v>-0.18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41.71</v>
      </c>
      <c r="AM134">
        <v>0</v>
      </c>
      <c r="AN134">
        <v>0</v>
      </c>
      <c r="AO134">
        <v>45.05</v>
      </c>
      <c r="AP134">
        <v>0</v>
      </c>
      <c r="AQ134">
        <v>0</v>
      </c>
      <c r="AR134">
        <v>587195435</v>
      </c>
    </row>
    <row r="135" spans="1:44" x14ac:dyDescent="0.25">
      <c r="A135" s="1">
        <v>46182.730740509258</v>
      </c>
      <c r="B135" s="2">
        <v>46182</v>
      </c>
      <c r="C135" s="1">
        <v>46182.522407175929</v>
      </c>
      <c r="D135" s="2">
        <v>46182</v>
      </c>
      <c r="E135" s="1">
        <v>46182.513155011577</v>
      </c>
      <c r="F135" s="1">
        <v>46182.522396701388</v>
      </c>
      <c r="G135" s="1">
        <v>46191.435840347222</v>
      </c>
      <c r="H135" s="2">
        <v>46191</v>
      </c>
      <c r="I135">
        <v>11717</v>
      </c>
      <c r="J135" t="s">
        <v>44</v>
      </c>
      <c r="K135">
        <v>241736</v>
      </c>
      <c r="L135" t="s">
        <v>45</v>
      </c>
      <c r="M135" t="s">
        <v>46</v>
      </c>
      <c r="N135" t="s">
        <v>47</v>
      </c>
      <c r="O135" t="s">
        <v>577</v>
      </c>
      <c r="P135">
        <v>17414243696</v>
      </c>
      <c r="Q135" t="s">
        <v>578</v>
      </c>
      <c r="R135" t="s">
        <v>579</v>
      </c>
      <c r="S135" t="s">
        <v>580</v>
      </c>
      <c r="T135" t="s">
        <v>48</v>
      </c>
      <c r="U135" t="s">
        <v>46</v>
      </c>
      <c r="V135" t="s">
        <v>51</v>
      </c>
      <c r="W135" t="s">
        <v>50</v>
      </c>
      <c r="X135">
        <v>24.96</v>
      </c>
      <c r="Y135">
        <v>2</v>
      </c>
      <c r="Z135">
        <v>0</v>
      </c>
      <c r="AA135">
        <v>-1.5</v>
      </c>
      <c r="AB135">
        <v>-0.1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25.36</v>
      </c>
      <c r="AM135">
        <v>0</v>
      </c>
      <c r="AN135">
        <v>0</v>
      </c>
      <c r="AO135">
        <v>24.96</v>
      </c>
      <c r="AP135">
        <v>0</v>
      </c>
      <c r="AQ135">
        <v>0</v>
      </c>
      <c r="AR135">
        <v>587195435</v>
      </c>
    </row>
    <row r="136" spans="1:44" x14ac:dyDescent="0.25">
      <c r="A136" s="1">
        <v>46182.016803865743</v>
      </c>
      <c r="B136" s="2">
        <v>46182</v>
      </c>
      <c r="C136" s="1">
        <v>46181.808470532407</v>
      </c>
      <c r="D136" s="2">
        <v>46181</v>
      </c>
      <c r="E136" s="1">
        <v>46181.741621157409</v>
      </c>
      <c r="F136" s="1">
        <v>46181.808460752312</v>
      </c>
      <c r="G136" s="1">
        <v>46191.435840347222</v>
      </c>
      <c r="H136" s="2">
        <v>46191</v>
      </c>
      <c r="I136">
        <v>11717</v>
      </c>
      <c r="J136" t="s">
        <v>44</v>
      </c>
      <c r="K136">
        <v>241736</v>
      </c>
      <c r="L136" t="s">
        <v>45</v>
      </c>
      <c r="M136" t="s">
        <v>46</v>
      </c>
      <c r="N136" t="s">
        <v>47</v>
      </c>
      <c r="O136" t="s">
        <v>581</v>
      </c>
      <c r="P136">
        <v>17408518438</v>
      </c>
      <c r="Q136" s="3">
        <v>855831000</v>
      </c>
      <c r="R136" t="s">
        <v>582</v>
      </c>
      <c r="S136" t="s">
        <v>583</v>
      </c>
      <c r="T136" t="s">
        <v>48</v>
      </c>
      <c r="U136" t="s">
        <v>46</v>
      </c>
      <c r="V136" t="s">
        <v>51</v>
      </c>
      <c r="W136" t="s">
        <v>50</v>
      </c>
      <c r="X136">
        <v>38.44</v>
      </c>
      <c r="Y136">
        <v>3.08</v>
      </c>
      <c r="Z136">
        <v>0</v>
      </c>
      <c r="AA136">
        <v>-2.31</v>
      </c>
      <c r="AB136">
        <v>-0.15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39.06</v>
      </c>
      <c r="AM136">
        <v>0</v>
      </c>
      <c r="AN136">
        <v>0</v>
      </c>
      <c r="AO136">
        <v>38.44</v>
      </c>
      <c r="AP136">
        <v>0</v>
      </c>
      <c r="AQ136">
        <v>0</v>
      </c>
      <c r="AR136">
        <v>587195435</v>
      </c>
    </row>
    <row r="137" spans="1:44" x14ac:dyDescent="0.25">
      <c r="A137" s="1">
        <v>46181.891514895833</v>
      </c>
      <c r="B137" s="2">
        <v>46181</v>
      </c>
      <c r="C137" s="1">
        <v>46181.683181562497</v>
      </c>
      <c r="D137" s="2">
        <v>46181</v>
      </c>
      <c r="E137" s="1">
        <v>46181.674635405092</v>
      </c>
      <c r="F137" s="1">
        <v>46181.683167824071</v>
      </c>
      <c r="G137" s="1">
        <v>46191.435840347222</v>
      </c>
      <c r="H137" s="2">
        <v>46191</v>
      </c>
      <c r="I137">
        <v>11717</v>
      </c>
      <c r="J137" t="s">
        <v>44</v>
      </c>
      <c r="K137">
        <v>241736</v>
      </c>
      <c r="L137" t="s">
        <v>45</v>
      </c>
      <c r="M137" t="s">
        <v>46</v>
      </c>
      <c r="N137" t="s">
        <v>47</v>
      </c>
      <c r="O137" t="s">
        <v>584</v>
      </c>
      <c r="P137">
        <v>17406256651</v>
      </c>
      <c r="Q137" t="s">
        <v>585</v>
      </c>
      <c r="R137" t="s">
        <v>586</v>
      </c>
      <c r="S137" t="s">
        <v>587</v>
      </c>
      <c r="T137" t="s">
        <v>48</v>
      </c>
      <c r="U137" t="s">
        <v>46</v>
      </c>
      <c r="V137" t="s">
        <v>49</v>
      </c>
      <c r="W137" t="s">
        <v>50</v>
      </c>
      <c r="X137">
        <v>18.59</v>
      </c>
      <c r="Y137">
        <v>1.49</v>
      </c>
      <c r="Z137">
        <v>0</v>
      </c>
      <c r="AA137">
        <v>-2.79</v>
      </c>
      <c r="AB137">
        <v>-7.0000000000000007E-2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17.22</v>
      </c>
      <c r="AM137">
        <v>0</v>
      </c>
      <c r="AN137">
        <v>0</v>
      </c>
      <c r="AO137">
        <v>18.59</v>
      </c>
      <c r="AP137">
        <v>0</v>
      </c>
      <c r="AQ137">
        <v>0</v>
      </c>
      <c r="AR137">
        <v>587195435</v>
      </c>
    </row>
    <row r="138" spans="1:44" x14ac:dyDescent="0.25">
      <c r="A138" s="1">
        <v>46181.775353310186</v>
      </c>
      <c r="B138" s="2">
        <v>46181</v>
      </c>
      <c r="C138" s="1">
        <v>46181.56701997685</v>
      </c>
      <c r="D138" s="2">
        <v>46181</v>
      </c>
      <c r="E138" s="1">
        <v>46181.500568113428</v>
      </c>
      <c r="F138" s="1">
        <v>46181.567011284722</v>
      </c>
      <c r="G138" s="1">
        <v>46191.435840347222</v>
      </c>
      <c r="H138" s="2">
        <v>46191</v>
      </c>
      <c r="I138">
        <v>11717</v>
      </c>
      <c r="J138" t="s">
        <v>44</v>
      </c>
      <c r="K138">
        <v>241736</v>
      </c>
      <c r="L138" t="s">
        <v>45</v>
      </c>
      <c r="M138" t="s">
        <v>46</v>
      </c>
      <c r="N138" t="s">
        <v>47</v>
      </c>
      <c r="O138" t="s">
        <v>588</v>
      </c>
      <c r="P138">
        <v>17404629227</v>
      </c>
      <c r="Q138" t="s">
        <v>589</v>
      </c>
      <c r="R138" t="s">
        <v>590</v>
      </c>
      <c r="S138" t="s">
        <v>591</v>
      </c>
      <c r="T138" t="s">
        <v>48</v>
      </c>
      <c r="U138" t="s">
        <v>46</v>
      </c>
      <c r="V138" t="s">
        <v>51</v>
      </c>
      <c r="W138" t="s">
        <v>50</v>
      </c>
      <c r="X138">
        <v>60.7</v>
      </c>
      <c r="Y138">
        <v>4.8600000000000003</v>
      </c>
      <c r="Z138">
        <v>13.11</v>
      </c>
      <c r="AA138">
        <v>-3.64</v>
      </c>
      <c r="AB138">
        <v>-0.24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74.790000000000006</v>
      </c>
      <c r="AM138">
        <v>0</v>
      </c>
      <c r="AN138">
        <v>0</v>
      </c>
      <c r="AO138">
        <v>60.7</v>
      </c>
      <c r="AP138">
        <v>0</v>
      </c>
      <c r="AQ138">
        <v>0</v>
      </c>
      <c r="AR138">
        <v>587195435</v>
      </c>
    </row>
    <row r="139" spans="1:44" x14ac:dyDescent="0.25">
      <c r="A139" s="1">
        <v>46181.769410011577</v>
      </c>
      <c r="B139" s="2">
        <v>46181</v>
      </c>
      <c r="C139" s="1">
        <v>46181.561076678241</v>
      </c>
      <c r="D139" s="2">
        <v>46181</v>
      </c>
      <c r="E139" s="1">
        <v>46181.553611354168</v>
      </c>
      <c r="F139" s="1">
        <v>46181.561066469905</v>
      </c>
      <c r="G139" s="1">
        <v>46191.435840347222</v>
      </c>
      <c r="H139" s="2">
        <v>46191</v>
      </c>
      <c r="I139">
        <v>11717</v>
      </c>
      <c r="J139" t="s">
        <v>44</v>
      </c>
      <c r="K139">
        <v>241736</v>
      </c>
      <c r="L139" t="s">
        <v>45</v>
      </c>
      <c r="M139" t="s">
        <v>46</v>
      </c>
      <c r="N139" t="s">
        <v>47</v>
      </c>
      <c r="O139" t="s">
        <v>592</v>
      </c>
      <c r="P139">
        <v>17404538421</v>
      </c>
      <c r="Q139" t="s">
        <v>593</v>
      </c>
      <c r="R139" t="s">
        <v>594</v>
      </c>
      <c r="S139" t="s">
        <v>595</v>
      </c>
      <c r="T139" t="s">
        <v>48</v>
      </c>
      <c r="U139" t="s">
        <v>46</v>
      </c>
      <c r="V139" t="s">
        <v>49</v>
      </c>
      <c r="W139" t="s">
        <v>50</v>
      </c>
      <c r="X139">
        <v>9.49</v>
      </c>
      <c r="Y139">
        <v>0.76</v>
      </c>
      <c r="Z139">
        <v>0</v>
      </c>
      <c r="AA139">
        <v>-1.42</v>
      </c>
      <c r="AB139">
        <v>-0.04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8.7899999999999991</v>
      </c>
      <c r="AM139">
        <v>0</v>
      </c>
      <c r="AN139">
        <v>0</v>
      </c>
      <c r="AO139">
        <v>9.49</v>
      </c>
      <c r="AP139">
        <v>0</v>
      </c>
      <c r="AQ139">
        <v>0</v>
      </c>
      <c r="AR139">
        <v>587195435</v>
      </c>
    </row>
    <row r="140" spans="1:44" x14ac:dyDescent="0.25">
      <c r="A140" s="1">
        <v>46181.745437465281</v>
      </c>
      <c r="B140" s="2">
        <v>46181</v>
      </c>
      <c r="C140" s="1">
        <v>46181.537104131945</v>
      </c>
      <c r="D140" s="2">
        <v>46181</v>
      </c>
      <c r="E140" s="1">
        <v>46181.475667013889</v>
      </c>
      <c r="F140" s="1">
        <v>46181.537095729167</v>
      </c>
      <c r="G140" s="1">
        <v>46191.435840347222</v>
      </c>
      <c r="H140" s="2">
        <v>46191</v>
      </c>
      <c r="I140">
        <v>11717</v>
      </c>
      <c r="J140" t="s">
        <v>44</v>
      </c>
      <c r="K140">
        <v>241736</v>
      </c>
      <c r="L140" t="s">
        <v>45</v>
      </c>
      <c r="M140" t="s">
        <v>46</v>
      </c>
      <c r="N140" t="s">
        <v>47</v>
      </c>
      <c r="O140" t="s">
        <v>596</v>
      </c>
      <c r="P140">
        <v>17404191105</v>
      </c>
      <c r="Q140" t="s">
        <v>597</v>
      </c>
      <c r="R140" t="s">
        <v>598</v>
      </c>
      <c r="S140" t="s">
        <v>599</v>
      </c>
      <c r="T140" t="s">
        <v>48</v>
      </c>
      <c r="U140" t="s">
        <v>46</v>
      </c>
      <c r="V140" t="s">
        <v>51</v>
      </c>
      <c r="W140" t="s">
        <v>50</v>
      </c>
      <c r="X140">
        <v>33.54</v>
      </c>
      <c r="Y140">
        <v>2.68</v>
      </c>
      <c r="Z140">
        <v>3.62</v>
      </c>
      <c r="AA140">
        <v>-2.0099999999999998</v>
      </c>
      <c r="AB140">
        <v>-0.13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37.700000000000003</v>
      </c>
      <c r="AM140">
        <v>0</v>
      </c>
      <c r="AN140">
        <v>0</v>
      </c>
      <c r="AO140">
        <v>33.54</v>
      </c>
      <c r="AP140">
        <v>0</v>
      </c>
      <c r="AQ140">
        <v>0</v>
      </c>
      <c r="AR140">
        <v>587195435</v>
      </c>
    </row>
    <row r="141" spans="1:44" x14ac:dyDescent="0.25">
      <c r="A141" s="1">
        <v>46181.730391828707</v>
      </c>
      <c r="B141" s="2">
        <v>46181</v>
      </c>
      <c r="C141" s="1">
        <v>46181.522058495371</v>
      </c>
      <c r="D141" s="2">
        <v>46181</v>
      </c>
      <c r="E141" s="1">
        <v>46181.515293217592</v>
      </c>
      <c r="F141" s="1">
        <v>46181.522047361112</v>
      </c>
      <c r="G141" s="1">
        <v>46191.435840347222</v>
      </c>
      <c r="H141" s="2">
        <v>46191</v>
      </c>
      <c r="I141">
        <v>11717</v>
      </c>
      <c r="J141" t="s">
        <v>44</v>
      </c>
      <c r="K141">
        <v>241736</v>
      </c>
      <c r="L141" t="s">
        <v>45</v>
      </c>
      <c r="M141" t="s">
        <v>46</v>
      </c>
      <c r="N141" t="s">
        <v>47</v>
      </c>
      <c r="O141" t="s">
        <v>600</v>
      </c>
      <c r="P141">
        <v>17403971626</v>
      </c>
      <c r="Q141" t="s">
        <v>601</v>
      </c>
      <c r="R141" t="s">
        <v>602</v>
      </c>
      <c r="S141" t="s">
        <v>603</v>
      </c>
      <c r="T141" t="s">
        <v>48</v>
      </c>
      <c r="U141" t="s">
        <v>46</v>
      </c>
      <c r="V141" t="s">
        <v>49</v>
      </c>
      <c r="W141" t="s">
        <v>50</v>
      </c>
      <c r="X141">
        <v>12.74</v>
      </c>
      <c r="Y141">
        <v>1.02</v>
      </c>
      <c r="Z141">
        <v>0</v>
      </c>
      <c r="AA141">
        <v>-1.91</v>
      </c>
      <c r="AB141">
        <v>-0.05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11.8</v>
      </c>
      <c r="AM141">
        <v>0</v>
      </c>
      <c r="AN141">
        <v>0</v>
      </c>
      <c r="AO141">
        <v>12.74</v>
      </c>
      <c r="AP141">
        <v>0</v>
      </c>
      <c r="AQ141">
        <v>0</v>
      </c>
      <c r="AR141">
        <v>587195435</v>
      </c>
    </row>
    <row r="142" spans="1:44" x14ac:dyDescent="0.25">
      <c r="A142" s="1">
        <v>46181.699618900464</v>
      </c>
      <c r="B142" s="2">
        <v>46181</v>
      </c>
      <c r="C142" s="1">
        <v>46181.491285567128</v>
      </c>
      <c r="D142" s="2">
        <v>46181</v>
      </c>
      <c r="E142" s="1">
        <v>46181.485011979166</v>
      </c>
      <c r="F142" s="1">
        <v>46181.491273171298</v>
      </c>
      <c r="G142" s="1">
        <v>46191.435840347222</v>
      </c>
      <c r="H142" s="2">
        <v>46191</v>
      </c>
      <c r="I142">
        <v>11717</v>
      </c>
      <c r="J142" t="s">
        <v>44</v>
      </c>
      <c r="K142">
        <v>241736</v>
      </c>
      <c r="L142" t="s">
        <v>45</v>
      </c>
      <c r="M142" t="s">
        <v>46</v>
      </c>
      <c r="N142" t="s">
        <v>47</v>
      </c>
      <c r="O142" t="s">
        <v>604</v>
      </c>
      <c r="P142">
        <v>17403520387</v>
      </c>
      <c r="Q142" t="s">
        <v>605</v>
      </c>
      <c r="R142" t="s">
        <v>606</v>
      </c>
      <c r="S142" t="s">
        <v>607</v>
      </c>
      <c r="T142" t="s">
        <v>48</v>
      </c>
      <c r="U142" t="s">
        <v>46</v>
      </c>
      <c r="V142" t="s">
        <v>49</v>
      </c>
      <c r="W142" t="s">
        <v>50</v>
      </c>
      <c r="X142">
        <v>10.99</v>
      </c>
      <c r="Y142">
        <v>0.88</v>
      </c>
      <c r="Z142">
        <v>0</v>
      </c>
      <c r="AA142">
        <v>-1.65</v>
      </c>
      <c r="AB142">
        <v>-0.04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10.18</v>
      </c>
      <c r="AM142">
        <v>0</v>
      </c>
      <c r="AN142">
        <v>0</v>
      </c>
      <c r="AO142">
        <v>10.99</v>
      </c>
      <c r="AP142">
        <v>0</v>
      </c>
      <c r="AQ142">
        <v>0</v>
      </c>
      <c r="AR142">
        <v>587195435</v>
      </c>
    </row>
    <row r="143" spans="1:44" x14ac:dyDescent="0.25">
      <c r="A143" s="1">
        <v>46180.996822650464</v>
      </c>
      <c r="B143" s="2">
        <v>46180</v>
      </c>
      <c r="C143" s="1">
        <v>46180.788489317129</v>
      </c>
      <c r="D143" s="2">
        <v>46180</v>
      </c>
      <c r="E143" s="1">
        <v>46180.778751203703</v>
      </c>
      <c r="F143" s="1">
        <v>46180.788475706016</v>
      </c>
      <c r="G143" s="1">
        <v>46184.544369398151</v>
      </c>
      <c r="H143" s="2">
        <v>46184</v>
      </c>
      <c r="I143">
        <v>11717</v>
      </c>
      <c r="J143" t="s">
        <v>44</v>
      </c>
      <c r="K143">
        <v>241736</v>
      </c>
      <c r="L143" t="s">
        <v>45</v>
      </c>
      <c r="M143" t="s">
        <v>46</v>
      </c>
      <c r="N143" t="s">
        <v>47</v>
      </c>
      <c r="O143" s="3" t="s">
        <v>608</v>
      </c>
      <c r="P143">
        <v>17397592353</v>
      </c>
      <c r="Q143" t="s">
        <v>609</v>
      </c>
      <c r="R143" t="s">
        <v>610</v>
      </c>
      <c r="S143" t="s">
        <v>611</v>
      </c>
      <c r="T143" t="s">
        <v>48</v>
      </c>
      <c r="U143" t="s">
        <v>46</v>
      </c>
      <c r="V143" t="s">
        <v>49</v>
      </c>
      <c r="W143" t="s">
        <v>50</v>
      </c>
      <c r="X143">
        <v>37.979999999999997</v>
      </c>
      <c r="Y143">
        <v>3.04</v>
      </c>
      <c r="Z143">
        <v>0</v>
      </c>
      <c r="AA143">
        <v>-5.7</v>
      </c>
      <c r="AB143">
        <v>-0.15</v>
      </c>
      <c r="AC143">
        <v>0</v>
      </c>
      <c r="AD143">
        <v>0</v>
      </c>
      <c r="AE143">
        <v>0</v>
      </c>
      <c r="AF143">
        <v>-1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35.17</v>
      </c>
      <c r="AM143">
        <v>0</v>
      </c>
      <c r="AN143">
        <v>0</v>
      </c>
      <c r="AO143">
        <v>37.979999999999997</v>
      </c>
      <c r="AP143">
        <v>0</v>
      </c>
      <c r="AQ143">
        <v>0</v>
      </c>
      <c r="AR143">
        <v>585632794</v>
      </c>
    </row>
    <row r="144" spans="1:44" x14ac:dyDescent="0.25">
      <c r="A144" s="1">
        <v>46180.959186574073</v>
      </c>
      <c r="B144" s="2">
        <v>46180</v>
      </c>
      <c r="C144" s="1">
        <v>46180.750853240737</v>
      </c>
      <c r="D144" s="2">
        <v>46180</v>
      </c>
      <c r="E144" s="1">
        <v>46180.739546469908</v>
      </c>
      <c r="F144" s="1">
        <v>46180.750839444445</v>
      </c>
      <c r="G144" s="1">
        <v>46184.544369398151</v>
      </c>
      <c r="H144" s="2">
        <v>46184</v>
      </c>
      <c r="I144">
        <v>11717</v>
      </c>
      <c r="J144" t="s">
        <v>44</v>
      </c>
      <c r="K144">
        <v>241736</v>
      </c>
      <c r="L144" t="s">
        <v>45</v>
      </c>
      <c r="M144" t="s">
        <v>46</v>
      </c>
      <c r="N144" t="s">
        <v>47</v>
      </c>
      <c r="O144" t="s">
        <v>612</v>
      </c>
      <c r="P144">
        <v>17396813990</v>
      </c>
      <c r="Q144" t="s">
        <v>613</v>
      </c>
      <c r="R144" t="s">
        <v>614</v>
      </c>
      <c r="S144" t="s">
        <v>615</v>
      </c>
      <c r="T144" t="s">
        <v>48</v>
      </c>
      <c r="U144" t="s">
        <v>46</v>
      </c>
      <c r="V144" t="s">
        <v>49</v>
      </c>
      <c r="W144" t="s">
        <v>50</v>
      </c>
      <c r="X144">
        <v>26.71</v>
      </c>
      <c r="Y144">
        <v>2.14</v>
      </c>
      <c r="Z144">
        <v>0</v>
      </c>
      <c r="AA144">
        <v>-4.01</v>
      </c>
      <c r="AB144">
        <v>-0.11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24.73</v>
      </c>
      <c r="AM144">
        <v>0</v>
      </c>
      <c r="AN144">
        <v>0</v>
      </c>
      <c r="AO144">
        <v>26.71</v>
      </c>
      <c r="AP144">
        <v>0</v>
      </c>
      <c r="AQ144">
        <v>0</v>
      </c>
      <c r="AR144">
        <v>585632794</v>
      </c>
    </row>
    <row r="145" spans="1:44" x14ac:dyDescent="0.25">
      <c r="A145" s="1">
        <v>46180.910468784721</v>
      </c>
      <c r="B145" s="2">
        <v>46180</v>
      </c>
      <c r="C145" s="1">
        <v>46180.702135451385</v>
      </c>
      <c r="D145" s="2">
        <v>46180</v>
      </c>
      <c r="E145" s="1">
        <v>46180.694589618055</v>
      </c>
      <c r="F145" s="1">
        <v>46180.702122002316</v>
      </c>
      <c r="G145" s="1">
        <v>46184.544369398151</v>
      </c>
      <c r="H145" s="2">
        <v>46184</v>
      </c>
      <c r="I145">
        <v>11717</v>
      </c>
      <c r="J145" t="s">
        <v>44</v>
      </c>
      <c r="K145">
        <v>241736</v>
      </c>
      <c r="L145" t="s">
        <v>45</v>
      </c>
      <c r="M145" t="s">
        <v>46</v>
      </c>
      <c r="N145" t="s">
        <v>47</v>
      </c>
      <c r="O145" t="s">
        <v>616</v>
      </c>
      <c r="P145">
        <v>17395867540</v>
      </c>
      <c r="Q145" t="s">
        <v>617</v>
      </c>
      <c r="R145" t="s">
        <v>618</v>
      </c>
      <c r="S145" t="s">
        <v>619</v>
      </c>
      <c r="T145" t="s">
        <v>48</v>
      </c>
      <c r="U145" t="s">
        <v>46</v>
      </c>
      <c r="V145" t="s">
        <v>49</v>
      </c>
      <c r="W145" t="s">
        <v>50</v>
      </c>
      <c r="X145">
        <v>14.5</v>
      </c>
      <c r="Y145">
        <v>1.1599999999999999</v>
      </c>
      <c r="Z145">
        <v>0</v>
      </c>
      <c r="AA145">
        <v>-2.1800000000000002</v>
      </c>
      <c r="AB145">
        <v>-0.06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13.42</v>
      </c>
      <c r="AM145">
        <v>0</v>
      </c>
      <c r="AN145">
        <v>0</v>
      </c>
      <c r="AO145">
        <v>14.5</v>
      </c>
      <c r="AP145">
        <v>0</v>
      </c>
      <c r="AQ145">
        <v>0</v>
      </c>
      <c r="AR145">
        <v>585632794</v>
      </c>
    </row>
    <row r="146" spans="1:44" x14ac:dyDescent="0.25">
      <c r="A146" s="1">
        <v>46180.886615868054</v>
      </c>
      <c r="B146" s="2">
        <v>46180</v>
      </c>
      <c r="C146" s="1">
        <v>46180.678282534725</v>
      </c>
      <c r="D146" s="2">
        <v>46180</v>
      </c>
      <c r="E146" s="1">
        <v>46180.664792199073</v>
      </c>
      <c r="F146" s="1">
        <v>46180.678269027776</v>
      </c>
      <c r="G146" s="1">
        <v>46184.544369398151</v>
      </c>
      <c r="H146" s="2">
        <v>46184</v>
      </c>
      <c r="I146">
        <v>11717</v>
      </c>
      <c r="J146" t="s">
        <v>44</v>
      </c>
      <c r="K146">
        <v>241736</v>
      </c>
      <c r="L146" t="s">
        <v>45</v>
      </c>
      <c r="M146" t="s">
        <v>46</v>
      </c>
      <c r="N146" t="s">
        <v>47</v>
      </c>
      <c r="O146" s="3" t="s">
        <v>620</v>
      </c>
      <c r="P146">
        <v>17395446833</v>
      </c>
      <c r="Q146" t="s">
        <v>621</v>
      </c>
      <c r="R146" t="s">
        <v>622</v>
      </c>
      <c r="S146" t="s">
        <v>623</v>
      </c>
      <c r="T146" t="s">
        <v>48</v>
      </c>
      <c r="U146" t="s">
        <v>46</v>
      </c>
      <c r="V146" t="s">
        <v>49</v>
      </c>
      <c r="W146" t="s">
        <v>50</v>
      </c>
      <c r="X146">
        <v>125.15</v>
      </c>
      <c r="Y146">
        <v>9.3699999999999992</v>
      </c>
      <c r="Z146">
        <v>0</v>
      </c>
      <c r="AA146">
        <v>-17.57</v>
      </c>
      <c r="AB146">
        <v>-0.46</v>
      </c>
      <c r="AC146">
        <v>0</v>
      </c>
      <c r="AD146">
        <v>0</v>
      </c>
      <c r="AE146">
        <v>-8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108.49</v>
      </c>
      <c r="AM146">
        <v>0</v>
      </c>
      <c r="AN146">
        <v>0</v>
      </c>
      <c r="AO146">
        <v>117.15</v>
      </c>
      <c r="AP146">
        <v>0</v>
      </c>
      <c r="AQ146">
        <v>0</v>
      </c>
      <c r="AR146">
        <v>585632794</v>
      </c>
    </row>
    <row r="147" spans="1:44" x14ac:dyDescent="0.25">
      <c r="A147" s="1">
        <v>46180.865327013889</v>
      </c>
      <c r="B147" s="2">
        <v>46180</v>
      </c>
      <c r="C147" s="1">
        <v>46180.656993680554</v>
      </c>
      <c r="D147" s="2">
        <v>46180</v>
      </c>
      <c r="E147" s="1">
        <v>46180.651481990739</v>
      </c>
      <c r="F147" s="1">
        <v>46180.65698078704</v>
      </c>
      <c r="G147" s="1">
        <v>46184.544369398151</v>
      </c>
      <c r="H147" s="2">
        <v>46184</v>
      </c>
      <c r="I147">
        <v>11717</v>
      </c>
      <c r="J147" t="s">
        <v>44</v>
      </c>
      <c r="K147">
        <v>241736</v>
      </c>
      <c r="L147" t="s">
        <v>45</v>
      </c>
      <c r="M147" t="s">
        <v>46</v>
      </c>
      <c r="N147" t="s">
        <v>47</v>
      </c>
      <c r="O147" t="s">
        <v>624</v>
      </c>
      <c r="P147">
        <v>17395095038</v>
      </c>
      <c r="Q147" t="s">
        <v>625</v>
      </c>
      <c r="R147" t="s">
        <v>626</v>
      </c>
      <c r="S147" t="s">
        <v>627</v>
      </c>
      <c r="T147" t="s">
        <v>48</v>
      </c>
      <c r="U147" t="s">
        <v>46</v>
      </c>
      <c r="V147" t="s">
        <v>49</v>
      </c>
      <c r="W147" t="s">
        <v>50</v>
      </c>
      <c r="X147">
        <v>13</v>
      </c>
      <c r="Y147">
        <v>1.04</v>
      </c>
      <c r="Z147">
        <v>0</v>
      </c>
      <c r="AA147">
        <v>-1.95</v>
      </c>
      <c r="AB147">
        <v>-0.05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12.04</v>
      </c>
      <c r="AM147">
        <v>0</v>
      </c>
      <c r="AN147">
        <v>0</v>
      </c>
      <c r="AO147">
        <v>13</v>
      </c>
      <c r="AP147">
        <v>0</v>
      </c>
      <c r="AQ147">
        <v>0</v>
      </c>
      <c r="AR147">
        <v>585632794</v>
      </c>
    </row>
    <row r="148" spans="1:44" x14ac:dyDescent="0.25">
      <c r="A148" s="1">
        <v>46180.846690185186</v>
      </c>
      <c r="B148" s="2">
        <v>46180</v>
      </c>
      <c r="C148" s="1">
        <v>46180.63835685185</v>
      </c>
      <c r="D148" s="2">
        <v>46180</v>
      </c>
      <c r="E148" s="1">
        <v>46180.631720300924</v>
      </c>
      <c r="F148" s="1">
        <v>46180.638345219908</v>
      </c>
      <c r="G148" s="1">
        <v>46184.544369398151</v>
      </c>
      <c r="H148" s="2">
        <v>46184</v>
      </c>
      <c r="I148">
        <v>11717</v>
      </c>
      <c r="J148" t="s">
        <v>44</v>
      </c>
      <c r="K148">
        <v>241736</v>
      </c>
      <c r="L148" t="s">
        <v>45</v>
      </c>
      <c r="M148" t="s">
        <v>46</v>
      </c>
      <c r="N148" t="s">
        <v>47</v>
      </c>
      <c r="O148" t="s">
        <v>628</v>
      </c>
      <c r="P148">
        <v>17394797765</v>
      </c>
      <c r="Q148" t="s">
        <v>629</v>
      </c>
      <c r="R148" t="s">
        <v>630</v>
      </c>
      <c r="S148" t="s">
        <v>631</v>
      </c>
      <c r="T148" t="s">
        <v>48</v>
      </c>
      <c r="U148" t="s">
        <v>46</v>
      </c>
      <c r="V148" t="s">
        <v>49</v>
      </c>
      <c r="W148" t="s">
        <v>50</v>
      </c>
      <c r="X148">
        <v>28.18</v>
      </c>
      <c r="Y148">
        <v>2.25</v>
      </c>
      <c r="Z148">
        <v>0</v>
      </c>
      <c r="AA148">
        <v>-4.2300000000000004</v>
      </c>
      <c r="AB148">
        <v>-0.11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26.09</v>
      </c>
      <c r="AM148">
        <v>0</v>
      </c>
      <c r="AN148">
        <v>0</v>
      </c>
      <c r="AO148">
        <v>28.18</v>
      </c>
      <c r="AP148">
        <v>0</v>
      </c>
      <c r="AQ148">
        <v>0</v>
      </c>
      <c r="AR148">
        <v>585632794</v>
      </c>
    </row>
    <row r="149" spans="1:44" x14ac:dyDescent="0.25">
      <c r="A149" s="1">
        <v>46180.809436539355</v>
      </c>
      <c r="B149" s="2">
        <v>46180</v>
      </c>
      <c r="C149" s="1">
        <v>46180.60110320602</v>
      </c>
      <c r="D149" s="2">
        <v>46180</v>
      </c>
      <c r="E149" s="1">
        <v>46180.59613027778</v>
      </c>
      <c r="F149" s="1">
        <v>46180.601091747689</v>
      </c>
      <c r="G149" s="1">
        <v>46184.544369398151</v>
      </c>
      <c r="H149" s="2">
        <v>46184</v>
      </c>
      <c r="I149">
        <v>11717</v>
      </c>
      <c r="J149" t="s">
        <v>44</v>
      </c>
      <c r="K149">
        <v>241736</v>
      </c>
      <c r="L149" t="s">
        <v>45</v>
      </c>
      <c r="M149" t="s">
        <v>46</v>
      </c>
      <c r="N149" t="s">
        <v>47</v>
      </c>
      <c r="O149" t="s">
        <v>632</v>
      </c>
      <c r="P149">
        <v>17394227000</v>
      </c>
      <c r="Q149" t="s">
        <v>633</v>
      </c>
      <c r="R149" t="s">
        <v>634</v>
      </c>
      <c r="S149" t="s">
        <v>635</v>
      </c>
      <c r="T149" t="s">
        <v>48</v>
      </c>
      <c r="U149" t="s">
        <v>46</v>
      </c>
      <c r="V149" t="s">
        <v>49</v>
      </c>
      <c r="W149" t="s">
        <v>50</v>
      </c>
      <c r="X149">
        <v>12.74</v>
      </c>
      <c r="Y149">
        <v>0.38</v>
      </c>
      <c r="Z149">
        <v>0</v>
      </c>
      <c r="AA149">
        <v>-0.71</v>
      </c>
      <c r="AB149">
        <v>-0.02</v>
      </c>
      <c r="AC149">
        <v>0</v>
      </c>
      <c r="AD149">
        <v>0</v>
      </c>
      <c r="AE149">
        <v>-8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4.3899999999999997</v>
      </c>
      <c r="AM149">
        <v>0</v>
      </c>
      <c r="AN149">
        <v>0</v>
      </c>
      <c r="AO149">
        <v>4.74</v>
      </c>
      <c r="AP149">
        <v>0</v>
      </c>
      <c r="AQ149">
        <v>0</v>
      </c>
      <c r="AR149">
        <v>585632794</v>
      </c>
    </row>
    <row r="150" spans="1:44" x14ac:dyDescent="0.25">
      <c r="A150" s="1">
        <v>46180.040707222222</v>
      </c>
      <c r="B150" s="2">
        <v>46180</v>
      </c>
      <c r="C150" s="1">
        <v>46179.832373888887</v>
      </c>
      <c r="D150" s="2">
        <v>46179</v>
      </c>
      <c r="E150" s="1">
        <v>46179.816826122682</v>
      </c>
      <c r="F150" s="1">
        <v>46179.832361250003</v>
      </c>
      <c r="G150" s="1">
        <v>46184.544369398151</v>
      </c>
      <c r="H150" s="2">
        <v>46184</v>
      </c>
      <c r="I150">
        <v>11717</v>
      </c>
      <c r="J150" t="s">
        <v>44</v>
      </c>
      <c r="K150">
        <v>241736</v>
      </c>
      <c r="L150" t="s">
        <v>45</v>
      </c>
      <c r="M150" t="s">
        <v>46</v>
      </c>
      <c r="N150" t="s">
        <v>47</v>
      </c>
      <c r="O150" t="s">
        <v>636</v>
      </c>
      <c r="P150">
        <v>17387007077</v>
      </c>
      <c r="Q150" t="s">
        <v>637</v>
      </c>
      <c r="R150" t="s">
        <v>638</v>
      </c>
      <c r="S150" t="s">
        <v>639</v>
      </c>
      <c r="T150" t="s">
        <v>48</v>
      </c>
      <c r="U150" t="s">
        <v>46</v>
      </c>
      <c r="V150" t="s">
        <v>49</v>
      </c>
      <c r="W150" t="s">
        <v>50</v>
      </c>
      <c r="X150">
        <v>23.08</v>
      </c>
      <c r="Y150">
        <v>1.85</v>
      </c>
      <c r="Z150">
        <v>0</v>
      </c>
      <c r="AA150">
        <v>-3.46</v>
      </c>
      <c r="AB150">
        <v>-0.09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21.38</v>
      </c>
      <c r="AM150">
        <v>0</v>
      </c>
      <c r="AN150">
        <v>0</v>
      </c>
      <c r="AO150">
        <v>23.08</v>
      </c>
      <c r="AP150">
        <v>0</v>
      </c>
      <c r="AQ150">
        <v>0</v>
      </c>
      <c r="AR150">
        <v>585632794</v>
      </c>
    </row>
    <row r="151" spans="1:44" x14ac:dyDescent="0.25">
      <c r="A151" s="1">
        <v>46180.014011481479</v>
      </c>
      <c r="B151" s="2">
        <v>46180</v>
      </c>
      <c r="C151" s="1">
        <v>46179.80567814815</v>
      </c>
      <c r="D151" s="2">
        <v>46179</v>
      </c>
      <c r="E151" s="1">
        <v>46179.795123935182</v>
      </c>
      <c r="F151" s="1">
        <v>46179.805666064814</v>
      </c>
      <c r="G151" s="1">
        <v>46184.544369398151</v>
      </c>
      <c r="H151" s="2">
        <v>46184</v>
      </c>
      <c r="I151">
        <v>11717</v>
      </c>
      <c r="J151" t="s">
        <v>44</v>
      </c>
      <c r="K151">
        <v>241736</v>
      </c>
      <c r="L151" t="s">
        <v>45</v>
      </c>
      <c r="M151" t="s">
        <v>46</v>
      </c>
      <c r="N151" t="s">
        <v>47</v>
      </c>
      <c r="O151" t="s">
        <v>640</v>
      </c>
      <c r="P151">
        <v>17386409127</v>
      </c>
      <c r="Q151" t="s">
        <v>641</v>
      </c>
      <c r="R151" t="s">
        <v>642</v>
      </c>
      <c r="S151" t="s">
        <v>643</v>
      </c>
      <c r="T151" t="s">
        <v>48</v>
      </c>
      <c r="U151" t="s">
        <v>46</v>
      </c>
      <c r="V151" t="s">
        <v>49</v>
      </c>
      <c r="W151" t="s">
        <v>50</v>
      </c>
      <c r="X151">
        <v>22.22</v>
      </c>
      <c r="Y151">
        <v>1.78</v>
      </c>
      <c r="Z151">
        <v>0</v>
      </c>
      <c r="AA151">
        <v>-3.33</v>
      </c>
      <c r="AB151">
        <v>-0.09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20.58</v>
      </c>
      <c r="AM151">
        <v>0</v>
      </c>
      <c r="AN151">
        <v>0</v>
      </c>
      <c r="AO151">
        <v>22.22</v>
      </c>
      <c r="AP151">
        <v>0</v>
      </c>
      <c r="AQ151">
        <v>0</v>
      </c>
      <c r="AR151">
        <v>585632794</v>
      </c>
    </row>
    <row r="152" spans="1:44" x14ac:dyDescent="0.25">
      <c r="A152" s="1">
        <v>46179.99220054398</v>
      </c>
      <c r="B152" s="2">
        <v>46179</v>
      </c>
      <c r="C152" s="1">
        <v>46179.783867210645</v>
      </c>
      <c r="D152" s="2">
        <v>46179</v>
      </c>
      <c r="E152" s="1">
        <v>46179.767112951391</v>
      </c>
      <c r="F152" s="1">
        <v>46179.78385550926</v>
      </c>
      <c r="G152" s="1">
        <v>46184.544369398151</v>
      </c>
      <c r="H152" s="2">
        <v>46184</v>
      </c>
      <c r="I152">
        <v>11717</v>
      </c>
      <c r="J152" t="s">
        <v>44</v>
      </c>
      <c r="K152">
        <v>241736</v>
      </c>
      <c r="L152" t="s">
        <v>45</v>
      </c>
      <c r="M152" t="s">
        <v>46</v>
      </c>
      <c r="N152" t="s">
        <v>47</v>
      </c>
      <c r="O152" t="s">
        <v>644</v>
      </c>
      <c r="P152">
        <v>17385921332</v>
      </c>
      <c r="Q152" t="s">
        <v>645</v>
      </c>
      <c r="R152" t="s">
        <v>646</v>
      </c>
      <c r="S152" t="s">
        <v>647</v>
      </c>
      <c r="T152" t="s">
        <v>48</v>
      </c>
      <c r="U152" t="s">
        <v>46</v>
      </c>
      <c r="V152" t="s">
        <v>49</v>
      </c>
      <c r="W152" t="s">
        <v>50</v>
      </c>
      <c r="X152">
        <v>35.04</v>
      </c>
      <c r="Y152">
        <v>2.8</v>
      </c>
      <c r="Z152">
        <v>0</v>
      </c>
      <c r="AA152">
        <v>-5.26</v>
      </c>
      <c r="AB152">
        <v>-0.14000000000000001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32.44</v>
      </c>
      <c r="AM152">
        <v>0</v>
      </c>
      <c r="AN152">
        <v>0</v>
      </c>
      <c r="AO152">
        <v>35.04</v>
      </c>
      <c r="AP152">
        <v>0</v>
      </c>
      <c r="AQ152">
        <v>0</v>
      </c>
      <c r="AR152">
        <v>585632794</v>
      </c>
    </row>
    <row r="153" spans="1:44" x14ac:dyDescent="0.25">
      <c r="A153" s="1">
        <v>46179.982162569446</v>
      </c>
      <c r="B153" s="2">
        <v>46179</v>
      </c>
      <c r="C153" s="1">
        <v>46179.77382923611</v>
      </c>
      <c r="D153" s="2">
        <v>46179</v>
      </c>
      <c r="E153" s="1">
        <v>46179.757971145831</v>
      </c>
      <c r="F153" s="1">
        <v>46179.773815671295</v>
      </c>
      <c r="G153" s="1">
        <v>46184.544369398151</v>
      </c>
      <c r="H153" s="2">
        <v>46184</v>
      </c>
      <c r="I153">
        <v>11717</v>
      </c>
      <c r="J153" t="s">
        <v>44</v>
      </c>
      <c r="K153">
        <v>241736</v>
      </c>
      <c r="L153" t="s">
        <v>45</v>
      </c>
      <c r="M153" t="s">
        <v>46</v>
      </c>
      <c r="N153" t="s">
        <v>47</v>
      </c>
      <c r="O153" t="s">
        <v>648</v>
      </c>
      <c r="P153">
        <v>17385699050</v>
      </c>
      <c r="Q153" t="s">
        <v>649</v>
      </c>
      <c r="R153" t="s">
        <v>650</v>
      </c>
      <c r="S153" t="s">
        <v>651</v>
      </c>
      <c r="T153" t="s">
        <v>48</v>
      </c>
      <c r="U153" t="s">
        <v>46</v>
      </c>
      <c r="V153" t="s">
        <v>49</v>
      </c>
      <c r="W153" t="s">
        <v>50</v>
      </c>
      <c r="X153">
        <v>28.97</v>
      </c>
      <c r="Y153">
        <v>2.3199999999999998</v>
      </c>
      <c r="Z153">
        <v>0</v>
      </c>
      <c r="AA153">
        <v>-4.3499999999999996</v>
      </c>
      <c r="AB153">
        <v>-0.11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26.83</v>
      </c>
      <c r="AM153">
        <v>0</v>
      </c>
      <c r="AN153">
        <v>0</v>
      </c>
      <c r="AO153">
        <v>28.97</v>
      </c>
      <c r="AP153">
        <v>0</v>
      </c>
      <c r="AQ153">
        <v>0</v>
      </c>
      <c r="AR153">
        <v>585632794</v>
      </c>
    </row>
    <row r="154" spans="1:44" x14ac:dyDescent="0.25">
      <c r="A154" s="1">
        <v>46179.966619108796</v>
      </c>
      <c r="B154" s="2">
        <v>46179</v>
      </c>
      <c r="C154" s="1">
        <v>46179.758285775461</v>
      </c>
      <c r="D154" s="2">
        <v>46179</v>
      </c>
      <c r="E154" s="1">
        <v>46179.748759548609</v>
      </c>
      <c r="F154" s="1">
        <v>46179.758272719904</v>
      </c>
      <c r="G154" s="1">
        <v>46184.544369398151</v>
      </c>
      <c r="H154" s="2">
        <v>46184</v>
      </c>
      <c r="I154">
        <v>11717</v>
      </c>
      <c r="J154" t="s">
        <v>44</v>
      </c>
      <c r="K154">
        <v>241736</v>
      </c>
      <c r="L154" t="s">
        <v>45</v>
      </c>
      <c r="M154" t="s">
        <v>46</v>
      </c>
      <c r="N154" t="s">
        <v>47</v>
      </c>
      <c r="O154" t="s">
        <v>652</v>
      </c>
      <c r="P154">
        <v>17385360985</v>
      </c>
      <c r="Q154" t="s">
        <v>653</v>
      </c>
      <c r="R154" t="s">
        <v>654</v>
      </c>
      <c r="S154" t="s">
        <v>655</v>
      </c>
      <c r="T154" t="s">
        <v>48</v>
      </c>
      <c r="U154" t="s">
        <v>46</v>
      </c>
      <c r="V154" t="s">
        <v>49</v>
      </c>
      <c r="W154" t="s">
        <v>50</v>
      </c>
      <c r="X154">
        <v>15.98</v>
      </c>
      <c r="Y154">
        <v>0.64</v>
      </c>
      <c r="Z154">
        <v>0</v>
      </c>
      <c r="AA154">
        <v>-1.2</v>
      </c>
      <c r="AB154">
        <v>-0.03</v>
      </c>
      <c r="AC154">
        <v>0</v>
      </c>
      <c r="AD154">
        <v>0</v>
      </c>
      <c r="AE154">
        <v>-8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7.39</v>
      </c>
      <c r="AM154">
        <v>0</v>
      </c>
      <c r="AN154">
        <v>0</v>
      </c>
      <c r="AO154">
        <v>7.98</v>
      </c>
      <c r="AP154">
        <v>0</v>
      </c>
      <c r="AQ154">
        <v>0</v>
      </c>
      <c r="AR154">
        <v>585632794</v>
      </c>
    </row>
    <row r="155" spans="1:44" x14ac:dyDescent="0.25">
      <c r="A155" s="1">
        <v>46179.949989791668</v>
      </c>
      <c r="B155" s="2">
        <v>46179</v>
      </c>
      <c r="C155" s="1">
        <v>46179.741656458333</v>
      </c>
      <c r="D155" s="2">
        <v>46179</v>
      </c>
      <c r="E155" s="1">
        <v>46179.733874467594</v>
      </c>
      <c r="F155" s="1">
        <v>46179.741639722219</v>
      </c>
      <c r="G155" s="1">
        <v>46184.544369398151</v>
      </c>
      <c r="H155" s="2">
        <v>46184</v>
      </c>
      <c r="I155">
        <v>11717</v>
      </c>
      <c r="J155" t="s">
        <v>44</v>
      </c>
      <c r="K155">
        <v>241736</v>
      </c>
      <c r="L155" t="s">
        <v>45</v>
      </c>
      <c r="M155" t="s">
        <v>46</v>
      </c>
      <c r="N155" t="s">
        <v>47</v>
      </c>
      <c r="O155" t="s">
        <v>656</v>
      </c>
      <c r="P155">
        <v>17385006964</v>
      </c>
      <c r="Q155" t="s">
        <v>657</v>
      </c>
      <c r="R155" t="s">
        <v>658</v>
      </c>
      <c r="S155" t="s">
        <v>659</v>
      </c>
      <c r="T155" t="s">
        <v>48</v>
      </c>
      <c r="U155" t="s">
        <v>46</v>
      </c>
      <c r="V155" t="s">
        <v>49</v>
      </c>
      <c r="W155" t="s">
        <v>50</v>
      </c>
      <c r="X155">
        <v>21.49</v>
      </c>
      <c r="Y155">
        <v>1.72</v>
      </c>
      <c r="Z155">
        <v>0</v>
      </c>
      <c r="AA155">
        <v>-3.22</v>
      </c>
      <c r="AB155">
        <v>-0.08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19.91</v>
      </c>
      <c r="AM155">
        <v>0</v>
      </c>
      <c r="AN155">
        <v>0</v>
      </c>
      <c r="AO155">
        <v>21.49</v>
      </c>
      <c r="AP155">
        <v>0</v>
      </c>
      <c r="AQ155">
        <v>0</v>
      </c>
      <c r="AR155">
        <v>585632794</v>
      </c>
    </row>
    <row r="156" spans="1:44" x14ac:dyDescent="0.25">
      <c r="A156" s="1">
        <v>46179.92775101852</v>
      </c>
      <c r="B156" s="2">
        <v>46179</v>
      </c>
      <c r="C156" s="1">
        <v>46179.719417685184</v>
      </c>
      <c r="D156" s="2">
        <v>46179</v>
      </c>
      <c r="E156" s="1">
        <v>46179.709420243053</v>
      </c>
      <c r="F156" s="1">
        <v>46179.719406446762</v>
      </c>
      <c r="G156" s="1">
        <v>46184.544369398151</v>
      </c>
      <c r="H156" s="2">
        <v>46184</v>
      </c>
      <c r="I156">
        <v>11717</v>
      </c>
      <c r="J156" t="s">
        <v>44</v>
      </c>
      <c r="K156">
        <v>241736</v>
      </c>
      <c r="L156" t="s">
        <v>45</v>
      </c>
      <c r="M156" t="s">
        <v>46</v>
      </c>
      <c r="N156" t="s">
        <v>47</v>
      </c>
      <c r="O156" t="s">
        <v>660</v>
      </c>
      <c r="P156">
        <v>17384554775</v>
      </c>
      <c r="Q156" t="s">
        <v>661</v>
      </c>
      <c r="R156" t="s">
        <v>662</v>
      </c>
      <c r="S156" t="s">
        <v>663</v>
      </c>
      <c r="T156" t="s">
        <v>48</v>
      </c>
      <c r="U156" t="s">
        <v>46</v>
      </c>
      <c r="V156" t="s">
        <v>49</v>
      </c>
      <c r="W156" t="s">
        <v>50</v>
      </c>
      <c r="X156">
        <v>25.19</v>
      </c>
      <c r="Y156">
        <v>2.02</v>
      </c>
      <c r="Z156">
        <v>0</v>
      </c>
      <c r="AA156">
        <v>-3.78</v>
      </c>
      <c r="AB156">
        <v>-0.1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23.33</v>
      </c>
      <c r="AM156">
        <v>0</v>
      </c>
      <c r="AN156">
        <v>0</v>
      </c>
      <c r="AO156">
        <v>25.19</v>
      </c>
      <c r="AP156">
        <v>0</v>
      </c>
      <c r="AQ156">
        <v>0</v>
      </c>
      <c r="AR156">
        <v>585632794</v>
      </c>
    </row>
    <row r="157" spans="1:44" x14ac:dyDescent="0.25">
      <c r="A157" s="1">
        <v>46179.907756250002</v>
      </c>
      <c r="B157" s="2">
        <v>46179</v>
      </c>
      <c r="C157" s="1">
        <v>46179.699422916667</v>
      </c>
      <c r="D157" s="2">
        <v>46179</v>
      </c>
      <c r="E157" s="1">
        <v>46179.686860127316</v>
      </c>
      <c r="F157" s="1">
        <v>46179.699411851849</v>
      </c>
      <c r="G157" s="1">
        <v>46184.544369398151</v>
      </c>
      <c r="H157" s="2">
        <v>46184</v>
      </c>
      <c r="I157">
        <v>11717</v>
      </c>
      <c r="J157" t="s">
        <v>44</v>
      </c>
      <c r="K157">
        <v>241736</v>
      </c>
      <c r="L157" t="s">
        <v>45</v>
      </c>
      <c r="M157" t="s">
        <v>46</v>
      </c>
      <c r="N157" t="s">
        <v>47</v>
      </c>
      <c r="O157" t="s">
        <v>664</v>
      </c>
      <c r="P157">
        <v>17384176879</v>
      </c>
      <c r="Q157" s="3" t="s">
        <v>665</v>
      </c>
      <c r="R157" t="s">
        <v>666</v>
      </c>
      <c r="S157" t="s">
        <v>667</v>
      </c>
      <c r="T157" t="s">
        <v>48</v>
      </c>
      <c r="U157" t="s">
        <v>46</v>
      </c>
      <c r="V157" t="s">
        <v>49</v>
      </c>
      <c r="W157" t="s">
        <v>50</v>
      </c>
      <c r="X157">
        <v>13.59</v>
      </c>
      <c r="Y157">
        <v>1.0900000000000001</v>
      </c>
      <c r="Z157">
        <v>0</v>
      </c>
      <c r="AA157">
        <v>-2.04</v>
      </c>
      <c r="AB157">
        <v>-0.05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12.59</v>
      </c>
      <c r="AM157">
        <v>0</v>
      </c>
      <c r="AN157">
        <v>0</v>
      </c>
      <c r="AO157">
        <v>13.59</v>
      </c>
      <c r="AP157">
        <v>0</v>
      </c>
      <c r="AQ157">
        <v>0</v>
      </c>
      <c r="AR157">
        <v>585632794</v>
      </c>
    </row>
    <row r="158" spans="1:44" x14ac:dyDescent="0.25">
      <c r="A158" s="1">
        <v>46179.709107986113</v>
      </c>
      <c r="B158" s="2">
        <v>46179</v>
      </c>
      <c r="C158" s="1">
        <v>46179.500774652777</v>
      </c>
      <c r="D158" s="2">
        <v>46179</v>
      </c>
      <c r="E158" s="1">
        <v>46179.49328826389</v>
      </c>
      <c r="F158" s="1">
        <v>46179.500762372685</v>
      </c>
      <c r="G158" s="1">
        <v>46184.544369398151</v>
      </c>
      <c r="H158" s="2">
        <v>46184</v>
      </c>
      <c r="I158">
        <v>11717</v>
      </c>
      <c r="J158" t="s">
        <v>44</v>
      </c>
      <c r="K158">
        <v>241736</v>
      </c>
      <c r="L158" t="s">
        <v>45</v>
      </c>
      <c r="M158" t="s">
        <v>46</v>
      </c>
      <c r="N158" t="s">
        <v>47</v>
      </c>
      <c r="O158" t="s">
        <v>668</v>
      </c>
      <c r="P158">
        <v>17381035136</v>
      </c>
      <c r="Q158" t="s">
        <v>669</v>
      </c>
      <c r="R158" t="s">
        <v>670</v>
      </c>
      <c r="S158" t="s">
        <v>671</v>
      </c>
      <c r="T158" t="s">
        <v>48</v>
      </c>
      <c r="U158" t="s">
        <v>46</v>
      </c>
      <c r="V158" t="s">
        <v>49</v>
      </c>
      <c r="W158" t="s">
        <v>50</v>
      </c>
      <c r="X158">
        <v>11.98</v>
      </c>
      <c r="Y158">
        <v>0.96</v>
      </c>
      <c r="Z158">
        <v>0</v>
      </c>
      <c r="AA158">
        <v>-1.8</v>
      </c>
      <c r="AB158">
        <v>-0.05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11.09</v>
      </c>
      <c r="AM158">
        <v>0</v>
      </c>
      <c r="AN158">
        <v>0</v>
      </c>
      <c r="AO158">
        <v>11.98</v>
      </c>
      <c r="AP158">
        <v>0</v>
      </c>
      <c r="AQ158">
        <v>0</v>
      </c>
      <c r="AR158">
        <v>585632794</v>
      </c>
    </row>
    <row r="159" spans="1:44" x14ac:dyDescent="0.25">
      <c r="A159" s="1">
        <v>46179.100262106484</v>
      </c>
      <c r="B159" s="2">
        <v>46179</v>
      </c>
      <c r="C159" s="1">
        <v>46178.891928773148</v>
      </c>
      <c r="D159" s="2">
        <v>46178</v>
      </c>
      <c r="E159" s="1">
        <v>46178.822914999997</v>
      </c>
      <c r="F159" s="1">
        <v>46178.891918263886</v>
      </c>
      <c r="G159" s="1">
        <v>46184.544369398151</v>
      </c>
      <c r="H159" s="2">
        <v>46184</v>
      </c>
      <c r="I159">
        <v>11717</v>
      </c>
      <c r="J159" t="s">
        <v>44</v>
      </c>
      <c r="K159">
        <v>241736</v>
      </c>
      <c r="L159" t="s">
        <v>45</v>
      </c>
      <c r="M159" t="s">
        <v>46</v>
      </c>
      <c r="N159" t="s">
        <v>47</v>
      </c>
      <c r="O159" t="s">
        <v>672</v>
      </c>
      <c r="P159">
        <v>17376125976</v>
      </c>
      <c r="Q159" t="s">
        <v>673</v>
      </c>
      <c r="R159" t="s">
        <v>674</v>
      </c>
      <c r="S159" t="s">
        <v>675</v>
      </c>
      <c r="T159" t="s">
        <v>48</v>
      </c>
      <c r="U159" t="s">
        <v>46</v>
      </c>
      <c r="V159" t="s">
        <v>51</v>
      </c>
      <c r="W159" t="s">
        <v>50</v>
      </c>
      <c r="X159">
        <v>34.380000000000003</v>
      </c>
      <c r="Y159">
        <v>2.11</v>
      </c>
      <c r="Z159">
        <v>0</v>
      </c>
      <c r="AA159">
        <v>-1.58</v>
      </c>
      <c r="AB159">
        <v>-0.1</v>
      </c>
      <c r="AC159">
        <v>0</v>
      </c>
      <c r="AD159">
        <v>0</v>
      </c>
      <c r="AE159">
        <v>-8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26.81</v>
      </c>
      <c r="AM159">
        <v>0</v>
      </c>
      <c r="AN159">
        <v>0</v>
      </c>
      <c r="AO159">
        <v>26.38</v>
      </c>
      <c r="AP159">
        <v>0</v>
      </c>
      <c r="AQ159">
        <v>0</v>
      </c>
      <c r="AR159">
        <v>585632794</v>
      </c>
    </row>
    <row r="160" spans="1:44" x14ac:dyDescent="0.25">
      <c r="A160" s="1">
        <v>46179.02357409722</v>
      </c>
      <c r="B160" s="2">
        <v>46179</v>
      </c>
      <c r="C160" s="1">
        <v>46178.815240763892</v>
      </c>
      <c r="D160" s="2">
        <v>46178</v>
      </c>
      <c r="E160" s="1">
        <v>46178.805031770833</v>
      </c>
      <c r="F160" s="1">
        <v>46178.815225266204</v>
      </c>
      <c r="G160" s="1">
        <v>46184.544369398151</v>
      </c>
      <c r="H160" s="2">
        <v>46184</v>
      </c>
      <c r="I160">
        <v>11717</v>
      </c>
      <c r="J160" t="s">
        <v>44</v>
      </c>
      <c r="K160">
        <v>241736</v>
      </c>
      <c r="L160" t="s">
        <v>45</v>
      </c>
      <c r="M160" t="s">
        <v>46</v>
      </c>
      <c r="N160" t="s">
        <v>47</v>
      </c>
      <c r="O160" t="s">
        <v>676</v>
      </c>
      <c r="P160">
        <v>17374264280</v>
      </c>
      <c r="Q160" t="s">
        <v>677</v>
      </c>
      <c r="R160" t="s">
        <v>678</v>
      </c>
      <c r="S160" t="s">
        <v>679</v>
      </c>
      <c r="T160" t="s">
        <v>48</v>
      </c>
      <c r="U160" t="s">
        <v>46</v>
      </c>
      <c r="V160" t="s">
        <v>49</v>
      </c>
      <c r="W160" t="s">
        <v>50</v>
      </c>
      <c r="X160">
        <v>20.38</v>
      </c>
      <c r="Y160">
        <v>1.63</v>
      </c>
      <c r="Z160">
        <v>0</v>
      </c>
      <c r="AA160">
        <v>-3.06</v>
      </c>
      <c r="AB160">
        <v>-0.08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18.87</v>
      </c>
      <c r="AM160">
        <v>0</v>
      </c>
      <c r="AN160">
        <v>0</v>
      </c>
      <c r="AO160">
        <v>20.38</v>
      </c>
      <c r="AP160">
        <v>0</v>
      </c>
      <c r="AQ160">
        <v>0</v>
      </c>
      <c r="AR160">
        <v>585632794</v>
      </c>
    </row>
    <row r="161" spans="1:44" x14ac:dyDescent="0.25">
      <c r="A161" s="1">
        <v>46179.00339111111</v>
      </c>
      <c r="B161" s="2">
        <v>46179</v>
      </c>
      <c r="C161" s="1">
        <v>46178.795057777781</v>
      </c>
      <c r="D161" s="2">
        <v>46178</v>
      </c>
      <c r="E161" s="1">
        <v>46178.783430115742</v>
      </c>
      <c r="F161" s="1">
        <v>46178.795042731479</v>
      </c>
      <c r="G161" s="1">
        <v>46184.544369398151</v>
      </c>
      <c r="H161" s="2">
        <v>46184</v>
      </c>
      <c r="I161">
        <v>11717</v>
      </c>
      <c r="J161" t="s">
        <v>44</v>
      </c>
      <c r="K161">
        <v>241736</v>
      </c>
      <c r="L161" t="s">
        <v>45</v>
      </c>
      <c r="M161" t="s">
        <v>46</v>
      </c>
      <c r="N161" t="s">
        <v>47</v>
      </c>
      <c r="O161" t="s">
        <v>680</v>
      </c>
      <c r="P161">
        <v>17373705307</v>
      </c>
      <c r="Q161" t="s">
        <v>681</v>
      </c>
      <c r="R161" s="3" t="s">
        <v>682</v>
      </c>
      <c r="S161" t="s">
        <v>683</v>
      </c>
      <c r="T161" t="s">
        <v>48</v>
      </c>
      <c r="U161" t="s">
        <v>46</v>
      </c>
      <c r="V161" t="s">
        <v>49</v>
      </c>
      <c r="W161" t="s">
        <v>50</v>
      </c>
      <c r="X161">
        <v>44.3</v>
      </c>
      <c r="Y161">
        <v>2.9</v>
      </c>
      <c r="Z161">
        <v>0</v>
      </c>
      <c r="AA161">
        <v>-5.45</v>
      </c>
      <c r="AB161">
        <v>-0.14000000000000001</v>
      </c>
      <c r="AC161">
        <v>0</v>
      </c>
      <c r="AD161">
        <v>0</v>
      </c>
      <c r="AE161">
        <v>-8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33.61</v>
      </c>
      <c r="AM161">
        <v>0</v>
      </c>
      <c r="AN161">
        <v>0</v>
      </c>
      <c r="AO161">
        <v>36.299999999999997</v>
      </c>
      <c r="AP161">
        <v>0</v>
      </c>
      <c r="AQ161">
        <v>0</v>
      </c>
      <c r="AR161">
        <v>585632794</v>
      </c>
    </row>
    <row r="162" spans="1:44" x14ac:dyDescent="0.25">
      <c r="A162" s="1">
        <v>46179.001332951389</v>
      </c>
      <c r="B162" s="2">
        <v>46179</v>
      </c>
      <c r="C162" s="1">
        <v>46178.792999618054</v>
      </c>
      <c r="D162" s="2">
        <v>46178</v>
      </c>
      <c r="E162" s="1">
        <v>46178.775963055552</v>
      </c>
      <c r="F162" s="1">
        <v>46178.792986018518</v>
      </c>
      <c r="G162" s="1">
        <v>46184.544369398151</v>
      </c>
      <c r="H162" s="2">
        <v>46184</v>
      </c>
      <c r="I162">
        <v>11717</v>
      </c>
      <c r="J162" t="s">
        <v>44</v>
      </c>
      <c r="K162">
        <v>241736</v>
      </c>
      <c r="L162" t="s">
        <v>45</v>
      </c>
      <c r="M162" t="s">
        <v>46</v>
      </c>
      <c r="N162" t="s">
        <v>47</v>
      </c>
      <c r="O162" s="3" t="s">
        <v>684</v>
      </c>
      <c r="P162">
        <v>17373655285</v>
      </c>
      <c r="Q162" t="s">
        <v>685</v>
      </c>
      <c r="R162" t="s">
        <v>686</v>
      </c>
      <c r="S162" t="s">
        <v>687</v>
      </c>
      <c r="T162" t="s">
        <v>48</v>
      </c>
      <c r="U162" t="s">
        <v>46</v>
      </c>
      <c r="V162" t="s">
        <v>49</v>
      </c>
      <c r="W162" t="s">
        <v>50</v>
      </c>
      <c r="X162">
        <v>35.979999999999997</v>
      </c>
      <c r="Y162">
        <v>2.88</v>
      </c>
      <c r="Z162">
        <v>0</v>
      </c>
      <c r="AA162">
        <v>-5.4</v>
      </c>
      <c r="AB162">
        <v>-0.14000000000000001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33.32</v>
      </c>
      <c r="AM162">
        <v>0</v>
      </c>
      <c r="AN162">
        <v>0</v>
      </c>
      <c r="AO162">
        <v>35.979999999999997</v>
      </c>
      <c r="AP162">
        <v>0</v>
      </c>
      <c r="AQ162">
        <v>0</v>
      </c>
      <c r="AR162">
        <v>585632794</v>
      </c>
    </row>
    <row r="163" spans="1:44" x14ac:dyDescent="0.25">
      <c r="A163" s="1">
        <v>46178.93790646991</v>
      </c>
      <c r="B163" s="2">
        <v>46178</v>
      </c>
      <c r="C163" s="1">
        <v>46178.729573136574</v>
      </c>
      <c r="D163" s="2">
        <v>46178</v>
      </c>
      <c r="E163" s="1">
        <v>46178.723159525463</v>
      </c>
      <c r="F163" s="1">
        <v>46178.729559525462</v>
      </c>
      <c r="G163" s="1">
        <v>46184.544369398151</v>
      </c>
      <c r="H163" s="2">
        <v>46184</v>
      </c>
      <c r="I163">
        <v>11717</v>
      </c>
      <c r="J163" t="s">
        <v>44</v>
      </c>
      <c r="K163">
        <v>241736</v>
      </c>
      <c r="L163" t="s">
        <v>45</v>
      </c>
      <c r="M163" t="s">
        <v>46</v>
      </c>
      <c r="N163" t="s">
        <v>47</v>
      </c>
      <c r="O163" t="s">
        <v>688</v>
      </c>
      <c r="P163">
        <v>17372182164</v>
      </c>
      <c r="Q163" t="s">
        <v>689</v>
      </c>
      <c r="R163" t="s">
        <v>690</v>
      </c>
      <c r="S163" t="s">
        <v>691</v>
      </c>
      <c r="T163" t="s">
        <v>48</v>
      </c>
      <c r="U163" t="s">
        <v>46</v>
      </c>
      <c r="V163" t="s">
        <v>49</v>
      </c>
      <c r="W163" t="s">
        <v>50</v>
      </c>
      <c r="X163">
        <v>32.22</v>
      </c>
      <c r="Y163">
        <v>2.58</v>
      </c>
      <c r="Z163">
        <v>0</v>
      </c>
      <c r="AA163">
        <v>-4.83</v>
      </c>
      <c r="AB163">
        <v>-0.13</v>
      </c>
      <c r="AC163">
        <v>0</v>
      </c>
      <c r="AD163">
        <v>0</v>
      </c>
      <c r="AE163">
        <v>0</v>
      </c>
      <c r="AF163">
        <v>-1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29.84</v>
      </c>
      <c r="AM163">
        <v>0</v>
      </c>
      <c r="AN163">
        <v>0</v>
      </c>
      <c r="AO163">
        <v>32.22</v>
      </c>
      <c r="AP163">
        <v>0</v>
      </c>
      <c r="AQ163">
        <v>0</v>
      </c>
      <c r="AR163">
        <v>585632794</v>
      </c>
    </row>
    <row r="164" spans="1:44" x14ac:dyDescent="0.25">
      <c r="A164" s="1">
        <v>46178.933506863425</v>
      </c>
      <c r="B164" s="2">
        <v>46178</v>
      </c>
      <c r="C164" s="1">
        <v>46178.725173530096</v>
      </c>
      <c r="D164" s="2">
        <v>46178</v>
      </c>
      <c r="E164" s="1">
        <v>46178.705015451385</v>
      </c>
      <c r="F164" s="1">
        <v>46178.725161134258</v>
      </c>
      <c r="G164" s="1">
        <v>46184.544369398151</v>
      </c>
      <c r="H164" s="2">
        <v>46184</v>
      </c>
      <c r="I164">
        <v>11717</v>
      </c>
      <c r="J164" t="s">
        <v>44</v>
      </c>
      <c r="K164">
        <v>241736</v>
      </c>
      <c r="L164" t="s">
        <v>45</v>
      </c>
      <c r="M164" t="s">
        <v>46</v>
      </c>
      <c r="N164" t="s">
        <v>47</v>
      </c>
      <c r="O164" t="s">
        <v>692</v>
      </c>
      <c r="P164">
        <v>17372086740</v>
      </c>
      <c r="Q164" t="s">
        <v>693</v>
      </c>
      <c r="R164" t="s">
        <v>694</v>
      </c>
      <c r="S164" t="s">
        <v>695</v>
      </c>
      <c r="T164" t="s">
        <v>48</v>
      </c>
      <c r="U164" t="s">
        <v>46</v>
      </c>
      <c r="V164" t="s">
        <v>49</v>
      </c>
      <c r="W164" t="s">
        <v>50</v>
      </c>
      <c r="X164">
        <v>36.479999999999997</v>
      </c>
      <c r="Y164">
        <v>2.12</v>
      </c>
      <c r="Z164">
        <v>0</v>
      </c>
      <c r="AA164">
        <v>-5.47</v>
      </c>
      <c r="AB164">
        <v>-0.14000000000000001</v>
      </c>
      <c r="AC164">
        <v>0</v>
      </c>
      <c r="AD164">
        <v>0</v>
      </c>
      <c r="AE164">
        <v>0</v>
      </c>
      <c r="AF164">
        <v>-10</v>
      </c>
      <c r="AG164">
        <v>0</v>
      </c>
      <c r="AH164">
        <v>10</v>
      </c>
      <c r="AI164">
        <v>0</v>
      </c>
      <c r="AJ164">
        <v>0</v>
      </c>
      <c r="AK164">
        <v>0</v>
      </c>
      <c r="AL164">
        <v>32.99</v>
      </c>
      <c r="AM164">
        <v>0</v>
      </c>
      <c r="AN164">
        <v>0</v>
      </c>
      <c r="AO164">
        <v>26.48</v>
      </c>
      <c r="AP164">
        <v>0</v>
      </c>
      <c r="AQ164">
        <v>0</v>
      </c>
      <c r="AR164">
        <v>585632794</v>
      </c>
    </row>
    <row r="165" spans="1:44" x14ac:dyDescent="0.25">
      <c r="A165" s="1">
        <v>46178.906587696758</v>
      </c>
      <c r="B165" s="2">
        <v>46178</v>
      </c>
      <c r="C165" s="1">
        <v>46178.698254363429</v>
      </c>
      <c r="D165" s="2">
        <v>46178</v>
      </c>
      <c r="E165" s="1">
        <v>46178.693309062503</v>
      </c>
      <c r="F165" s="1">
        <v>46178.698239166668</v>
      </c>
      <c r="G165" s="1">
        <v>46184.544369398151</v>
      </c>
      <c r="H165" s="2">
        <v>46184</v>
      </c>
      <c r="I165">
        <v>11717</v>
      </c>
      <c r="J165" t="s">
        <v>44</v>
      </c>
      <c r="K165">
        <v>241736</v>
      </c>
      <c r="L165" t="s">
        <v>45</v>
      </c>
      <c r="M165" t="s">
        <v>46</v>
      </c>
      <c r="N165" t="s">
        <v>47</v>
      </c>
      <c r="O165" t="s">
        <v>696</v>
      </c>
      <c r="P165">
        <v>17371555861</v>
      </c>
      <c r="Q165" t="s">
        <v>697</v>
      </c>
      <c r="R165" t="s">
        <v>698</v>
      </c>
      <c r="S165" t="s">
        <v>699</v>
      </c>
      <c r="T165" t="s">
        <v>48</v>
      </c>
      <c r="U165" t="s">
        <v>46</v>
      </c>
      <c r="V165" t="s">
        <v>49</v>
      </c>
      <c r="W165" t="s">
        <v>50</v>
      </c>
      <c r="X165">
        <v>10.5</v>
      </c>
      <c r="Y165">
        <v>0.84</v>
      </c>
      <c r="Z165">
        <v>0</v>
      </c>
      <c r="AA165">
        <v>-1.58</v>
      </c>
      <c r="AB165">
        <v>-0.04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9.7200000000000006</v>
      </c>
      <c r="AM165">
        <v>0</v>
      </c>
      <c r="AN165">
        <v>0</v>
      </c>
      <c r="AO165">
        <v>10.5</v>
      </c>
      <c r="AP165">
        <v>0</v>
      </c>
      <c r="AQ165">
        <v>0</v>
      </c>
      <c r="AR165">
        <v>585632794</v>
      </c>
    </row>
    <row r="166" spans="1:44" x14ac:dyDescent="0.25">
      <c r="A166" s="1">
        <v>46178.77314135417</v>
      </c>
      <c r="B166" s="2">
        <v>46178</v>
      </c>
      <c r="C166" s="1">
        <v>46178.564808020834</v>
      </c>
      <c r="D166" s="2">
        <v>46178</v>
      </c>
      <c r="E166" s="1">
        <v>46178.501847662039</v>
      </c>
      <c r="F166" s="1">
        <v>46178.56479895833</v>
      </c>
      <c r="G166" s="1">
        <v>46184.544369398151</v>
      </c>
      <c r="H166" s="2">
        <v>46184</v>
      </c>
      <c r="I166">
        <v>11717</v>
      </c>
      <c r="J166" t="s">
        <v>44</v>
      </c>
      <c r="K166">
        <v>241736</v>
      </c>
      <c r="L166" t="s">
        <v>45</v>
      </c>
      <c r="M166" t="s">
        <v>46</v>
      </c>
      <c r="N166" t="s">
        <v>47</v>
      </c>
      <c r="O166" t="s">
        <v>700</v>
      </c>
      <c r="P166">
        <v>17369397270</v>
      </c>
      <c r="Q166" t="s">
        <v>701</v>
      </c>
      <c r="R166" t="s">
        <v>702</v>
      </c>
      <c r="S166" t="s">
        <v>703</v>
      </c>
      <c r="T166" t="s">
        <v>48</v>
      </c>
      <c r="U166" t="s">
        <v>46</v>
      </c>
      <c r="V166" t="s">
        <v>51</v>
      </c>
      <c r="W166" t="s">
        <v>50</v>
      </c>
      <c r="X166">
        <v>30.47</v>
      </c>
      <c r="Y166">
        <v>2.44</v>
      </c>
      <c r="Z166">
        <v>4.93</v>
      </c>
      <c r="AA166">
        <v>-1.83</v>
      </c>
      <c r="AB166">
        <v>-0.12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35.89</v>
      </c>
      <c r="AM166">
        <v>0</v>
      </c>
      <c r="AN166">
        <v>0</v>
      </c>
      <c r="AO166">
        <v>30.47</v>
      </c>
      <c r="AP166">
        <v>0</v>
      </c>
      <c r="AQ166">
        <v>0</v>
      </c>
      <c r="AR166">
        <v>585632794</v>
      </c>
    </row>
    <row r="167" spans="1:44" x14ac:dyDescent="0.25">
      <c r="A167" s="1">
        <v>46178.732136712963</v>
      </c>
      <c r="B167" s="2">
        <v>46178</v>
      </c>
      <c r="C167" s="1">
        <v>46178.523803379627</v>
      </c>
      <c r="D167" s="2">
        <v>46178</v>
      </c>
      <c r="E167" s="1">
        <v>46178.515409988424</v>
      </c>
      <c r="F167" s="1">
        <v>46178.52379107639</v>
      </c>
      <c r="G167" s="1">
        <v>46184.544369398151</v>
      </c>
      <c r="H167" s="2">
        <v>46184</v>
      </c>
      <c r="I167">
        <v>11717</v>
      </c>
      <c r="J167" t="s">
        <v>44</v>
      </c>
      <c r="K167">
        <v>241736</v>
      </c>
      <c r="L167" t="s">
        <v>45</v>
      </c>
      <c r="M167" t="s">
        <v>46</v>
      </c>
      <c r="N167" t="s">
        <v>47</v>
      </c>
      <c r="O167" t="s">
        <v>704</v>
      </c>
      <c r="P167">
        <v>17368715159</v>
      </c>
      <c r="Q167" t="s">
        <v>705</v>
      </c>
      <c r="R167" t="s">
        <v>706</v>
      </c>
      <c r="S167" t="s">
        <v>707</v>
      </c>
      <c r="T167" t="s">
        <v>48</v>
      </c>
      <c r="U167" t="s">
        <v>46</v>
      </c>
      <c r="V167" t="s">
        <v>49</v>
      </c>
      <c r="W167" t="s">
        <v>50</v>
      </c>
      <c r="X167">
        <v>27.46</v>
      </c>
      <c r="Y167">
        <v>2.2000000000000002</v>
      </c>
      <c r="Z167">
        <v>0</v>
      </c>
      <c r="AA167">
        <v>-4.12</v>
      </c>
      <c r="AB167">
        <v>-0.11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25.43</v>
      </c>
      <c r="AM167">
        <v>0</v>
      </c>
      <c r="AN167">
        <v>0</v>
      </c>
      <c r="AO167">
        <v>27.46</v>
      </c>
      <c r="AP167">
        <v>0</v>
      </c>
      <c r="AQ167">
        <v>0</v>
      </c>
      <c r="AR167">
        <v>585632794</v>
      </c>
    </row>
    <row r="168" spans="1:44" x14ac:dyDescent="0.25">
      <c r="A168" s="1">
        <v>46178.065515532406</v>
      </c>
      <c r="B168" s="2">
        <v>46178</v>
      </c>
      <c r="C168" s="1">
        <v>46177.857182199077</v>
      </c>
      <c r="D168" s="2">
        <v>46177</v>
      </c>
      <c r="E168" s="1">
        <v>46177.78976806713</v>
      </c>
      <c r="F168" s="1">
        <v>46177.857173923614</v>
      </c>
      <c r="G168" s="1">
        <v>46184.544369398151</v>
      </c>
      <c r="H168" s="2">
        <v>46184</v>
      </c>
      <c r="I168">
        <v>11717</v>
      </c>
      <c r="J168" t="s">
        <v>44</v>
      </c>
      <c r="K168">
        <v>241736</v>
      </c>
      <c r="L168" t="s">
        <v>45</v>
      </c>
      <c r="M168" t="s">
        <v>46</v>
      </c>
      <c r="N168" t="s">
        <v>47</v>
      </c>
      <c r="O168" t="s">
        <v>708</v>
      </c>
      <c r="P168">
        <v>17363160572</v>
      </c>
      <c r="Q168" t="s">
        <v>709</v>
      </c>
      <c r="R168" t="s">
        <v>710</v>
      </c>
      <c r="S168" t="s">
        <v>711</v>
      </c>
      <c r="T168" t="s">
        <v>48</v>
      </c>
      <c r="U168" t="s">
        <v>46</v>
      </c>
      <c r="V168" t="s">
        <v>51</v>
      </c>
      <c r="W168" t="s">
        <v>50</v>
      </c>
      <c r="X168">
        <v>15.69</v>
      </c>
      <c r="Y168">
        <v>1.26</v>
      </c>
      <c r="Z168">
        <v>0</v>
      </c>
      <c r="AA168">
        <v>-0.94</v>
      </c>
      <c r="AB168">
        <v>-0.06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15.95</v>
      </c>
      <c r="AM168">
        <v>0</v>
      </c>
      <c r="AN168">
        <v>0</v>
      </c>
      <c r="AO168">
        <v>15.69</v>
      </c>
      <c r="AP168">
        <v>0</v>
      </c>
      <c r="AQ168">
        <v>0</v>
      </c>
      <c r="AR168">
        <v>585632794</v>
      </c>
    </row>
    <row r="169" spans="1:44" x14ac:dyDescent="0.25">
      <c r="A169" s="1">
        <v>46178.057753298614</v>
      </c>
      <c r="B169" s="2">
        <v>46178</v>
      </c>
      <c r="C169" s="1">
        <v>46177.849419965278</v>
      </c>
      <c r="D169" s="2">
        <v>46177</v>
      </c>
      <c r="E169" s="1">
        <v>46177.838471909723</v>
      </c>
      <c r="F169" s="1">
        <v>46177.849408009257</v>
      </c>
      <c r="G169" s="1">
        <v>46184.544369398151</v>
      </c>
      <c r="H169" s="2">
        <v>46184</v>
      </c>
      <c r="I169">
        <v>11717</v>
      </c>
      <c r="J169" t="s">
        <v>44</v>
      </c>
      <c r="K169">
        <v>241736</v>
      </c>
      <c r="L169" t="s">
        <v>45</v>
      </c>
      <c r="M169" t="s">
        <v>46</v>
      </c>
      <c r="N169" t="s">
        <v>47</v>
      </c>
      <c r="O169" t="s">
        <v>712</v>
      </c>
      <c r="P169">
        <v>17362995286</v>
      </c>
      <c r="Q169" t="s">
        <v>713</v>
      </c>
      <c r="R169" t="s">
        <v>714</v>
      </c>
      <c r="S169" t="s">
        <v>715</v>
      </c>
      <c r="T169" t="s">
        <v>48</v>
      </c>
      <c r="U169" t="s">
        <v>46</v>
      </c>
      <c r="V169" t="s">
        <v>49</v>
      </c>
      <c r="W169" t="s">
        <v>50</v>
      </c>
      <c r="X169">
        <v>27.57</v>
      </c>
      <c r="Y169">
        <v>2.21</v>
      </c>
      <c r="Z169">
        <v>0</v>
      </c>
      <c r="AA169">
        <v>-4.1399999999999997</v>
      </c>
      <c r="AB169">
        <v>-0.11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25.53</v>
      </c>
      <c r="AM169">
        <v>0</v>
      </c>
      <c r="AN169">
        <v>0</v>
      </c>
      <c r="AO169">
        <v>27.57</v>
      </c>
      <c r="AP169">
        <v>0</v>
      </c>
      <c r="AQ169">
        <v>0</v>
      </c>
      <c r="AR169">
        <v>585632794</v>
      </c>
    </row>
    <row r="170" spans="1:44" x14ac:dyDescent="0.25">
      <c r="A170" s="1">
        <v>46178.033669618053</v>
      </c>
      <c r="B170" s="2">
        <v>46178</v>
      </c>
      <c r="C170" s="1">
        <v>46177.825336284724</v>
      </c>
      <c r="D170" s="2">
        <v>46177</v>
      </c>
      <c r="E170" s="1">
        <v>46177.815738020836</v>
      </c>
      <c r="F170" s="1">
        <v>46177.825323888886</v>
      </c>
      <c r="G170" s="1">
        <v>46184.544369398151</v>
      </c>
      <c r="H170" s="2">
        <v>46184</v>
      </c>
      <c r="I170">
        <v>11717</v>
      </c>
      <c r="J170" t="s">
        <v>44</v>
      </c>
      <c r="K170">
        <v>241736</v>
      </c>
      <c r="L170" t="s">
        <v>45</v>
      </c>
      <c r="M170" t="s">
        <v>46</v>
      </c>
      <c r="N170" t="s">
        <v>47</v>
      </c>
      <c r="O170" t="s">
        <v>716</v>
      </c>
      <c r="P170">
        <v>17362473427</v>
      </c>
      <c r="Q170" t="s">
        <v>717</v>
      </c>
      <c r="R170" t="s">
        <v>718</v>
      </c>
      <c r="S170" t="s">
        <v>719</v>
      </c>
      <c r="T170" t="s">
        <v>48</v>
      </c>
      <c r="U170" t="s">
        <v>46</v>
      </c>
      <c r="V170" t="s">
        <v>49</v>
      </c>
      <c r="W170" t="s">
        <v>50</v>
      </c>
      <c r="X170">
        <v>35.32</v>
      </c>
      <c r="Y170">
        <v>2.83</v>
      </c>
      <c r="Z170">
        <v>0</v>
      </c>
      <c r="AA170">
        <v>-5.3</v>
      </c>
      <c r="AB170">
        <v>-0.14000000000000001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32.71</v>
      </c>
      <c r="AM170">
        <v>0</v>
      </c>
      <c r="AN170">
        <v>0</v>
      </c>
      <c r="AO170">
        <v>35.32</v>
      </c>
      <c r="AP170">
        <v>0</v>
      </c>
      <c r="AQ170">
        <v>0</v>
      </c>
      <c r="AR170">
        <v>585632794</v>
      </c>
    </row>
    <row r="171" spans="1:44" x14ac:dyDescent="0.25">
      <c r="A171" s="1">
        <v>46178.029373518519</v>
      </c>
      <c r="B171" s="2">
        <v>46178</v>
      </c>
      <c r="C171" s="1">
        <v>46177.821040185183</v>
      </c>
      <c r="D171" s="2">
        <v>46177</v>
      </c>
      <c r="E171" s="1">
        <v>46177.801934131945</v>
      </c>
      <c r="F171" s="1">
        <v>46177.821028043982</v>
      </c>
      <c r="G171" s="1">
        <v>46184.544369398151</v>
      </c>
      <c r="H171" s="2">
        <v>46184</v>
      </c>
      <c r="I171">
        <v>11717</v>
      </c>
      <c r="J171" t="s">
        <v>44</v>
      </c>
      <c r="K171">
        <v>241736</v>
      </c>
      <c r="L171" t="s">
        <v>45</v>
      </c>
      <c r="M171" t="s">
        <v>46</v>
      </c>
      <c r="N171" t="s">
        <v>47</v>
      </c>
      <c r="O171" t="s">
        <v>720</v>
      </c>
      <c r="P171">
        <v>17362378458</v>
      </c>
      <c r="Q171" t="s">
        <v>721</v>
      </c>
      <c r="R171" t="s">
        <v>722</v>
      </c>
      <c r="S171" t="s">
        <v>723</v>
      </c>
      <c r="T171" t="s">
        <v>48</v>
      </c>
      <c r="U171" t="s">
        <v>46</v>
      </c>
      <c r="V171" t="s">
        <v>49</v>
      </c>
      <c r="W171" t="s">
        <v>50</v>
      </c>
      <c r="X171">
        <v>44.12</v>
      </c>
      <c r="Y171">
        <v>3.53</v>
      </c>
      <c r="Z171">
        <v>0</v>
      </c>
      <c r="AA171">
        <v>-6.62</v>
      </c>
      <c r="AB171">
        <v>-0.17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40.86</v>
      </c>
      <c r="AM171">
        <v>0</v>
      </c>
      <c r="AN171">
        <v>0</v>
      </c>
      <c r="AO171">
        <v>44.12</v>
      </c>
      <c r="AP171">
        <v>0</v>
      </c>
      <c r="AQ171">
        <v>0</v>
      </c>
      <c r="AR171">
        <v>585632794</v>
      </c>
    </row>
    <row r="172" spans="1:44" x14ac:dyDescent="0.25">
      <c r="A172" s="1">
        <v>46178.007492453704</v>
      </c>
      <c r="B172" s="2">
        <v>46178</v>
      </c>
      <c r="C172" s="1">
        <v>46177.799159120368</v>
      </c>
      <c r="D172" s="2">
        <v>46177</v>
      </c>
      <c r="E172" s="1">
        <v>46177.7880347338</v>
      </c>
      <c r="F172" s="1">
        <v>46177.799144930555</v>
      </c>
      <c r="G172" s="1">
        <v>46184.544369398151</v>
      </c>
      <c r="H172" s="2">
        <v>46184</v>
      </c>
      <c r="I172">
        <v>11717</v>
      </c>
      <c r="J172" t="s">
        <v>44</v>
      </c>
      <c r="K172">
        <v>241736</v>
      </c>
      <c r="L172" t="s">
        <v>45</v>
      </c>
      <c r="M172" t="s">
        <v>46</v>
      </c>
      <c r="N172" t="s">
        <v>47</v>
      </c>
      <c r="O172" t="s">
        <v>724</v>
      </c>
      <c r="P172">
        <v>17361877881</v>
      </c>
      <c r="Q172" t="s">
        <v>725</v>
      </c>
      <c r="R172" t="s">
        <v>726</v>
      </c>
      <c r="S172" t="s">
        <v>727</v>
      </c>
      <c r="T172" t="s">
        <v>48</v>
      </c>
      <c r="U172" t="s">
        <v>46</v>
      </c>
      <c r="V172" t="s">
        <v>49</v>
      </c>
      <c r="W172" t="s">
        <v>50</v>
      </c>
      <c r="X172">
        <v>38.58</v>
      </c>
      <c r="Y172">
        <v>2.4500000000000002</v>
      </c>
      <c r="Z172">
        <v>0</v>
      </c>
      <c r="AA172">
        <v>-4.59</v>
      </c>
      <c r="AB172">
        <v>-0.12</v>
      </c>
      <c r="AC172">
        <v>0</v>
      </c>
      <c r="AD172">
        <v>0</v>
      </c>
      <c r="AE172">
        <v>-8</v>
      </c>
      <c r="AF172">
        <v>-2</v>
      </c>
      <c r="AG172">
        <v>0</v>
      </c>
      <c r="AH172">
        <v>2</v>
      </c>
      <c r="AI172">
        <v>0</v>
      </c>
      <c r="AJ172">
        <v>0</v>
      </c>
      <c r="AK172">
        <v>0</v>
      </c>
      <c r="AL172">
        <v>28.32</v>
      </c>
      <c r="AM172">
        <v>0</v>
      </c>
      <c r="AN172">
        <v>0</v>
      </c>
      <c r="AO172">
        <v>30.58</v>
      </c>
      <c r="AP172">
        <v>0</v>
      </c>
      <c r="AQ172">
        <v>0</v>
      </c>
      <c r="AR172">
        <v>585632794</v>
      </c>
    </row>
    <row r="173" spans="1:44" x14ac:dyDescent="0.25">
      <c r="A173" s="1">
        <v>46177.991077800929</v>
      </c>
      <c r="B173" s="2">
        <v>46177</v>
      </c>
      <c r="C173" s="1">
        <v>46177.782744467593</v>
      </c>
      <c r="D173" s="2">
        <v>46177</v>
      </c>
      <c r="E173" s="1">
        <v>46177.772761759261</v>
      </c>
      <c r="F173" s="1">
        <v>46177.78272628472</v>
      </c>
      <c r="G173" s="1">
        <v>46184.544369398151</v>
      </c>
      <c r="H173" s="2">
        <v>46184</v>
      </c>
      <c r="I173">
        <v>11717</v>
      </c>
      <c r="J173" t="s">
        <v>44</v>
      </c>
      <c r="K173">
        <v>241736</v>
      </c>
      <c r="L173" t="s">
        <v>45</v>
      </c>
      <c r="M173" t="s">
        <v>46</v>
      </c>
      <c r="N173" t="s">
        <v>47</v>
      </c>
      <c r="O173" t="s">
        <v>728</v>
      </c>
      <c r="P173">
        <v>17361505398</v>
      </c>
      <c r="Q173" t="s">
        <v>729</v>
      </c>
      <c r="R173" t="s">
        <v>730</v>
      </c>
      <c r="S173" t="s">
        <v>731</v>
      </c>
      <c r="T173" t="s">
        <v>48</v>
      </c>
      <c r="U173" t="s">
        <v>46</v>
      </c>
      <c r="V173" t="s">
        <v>49</v>
      </c>
      <c r="W173" t="s">
        <v>50</v>
      </c>
      <c r="X173">
        <v>20.58</v>
      </c>
      <c r="Y173">
        <v>1.65</v>
      </c>
      <c r="Z173">
        <v>0</v>
      </c>
      <c r="AA173">
        <v>-3.09</v>
      </c>
      <c r="AB173">
        <v>-0.08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19.059999999999999</v>
      </c>
      <c r="AM173">
        <v>0</v>
      </c>
      <c r="AN173">
        <v>0</v>
      </c>
      <c r="AO173">
        <v>20.58</v>
      </c>
      <c r="AP173">
        <v>0</v>
      </c>
      <c r="AQ173">
        <v>0</v>
      </c>
      <c r="AR173">
        <v>585632794</v>
      </c>
    </row>
    <row r="174" spans="1:44" x14ac:dyDescent="0.25">
      <c r="A174" s="1">
        <v>46177.972255752313</v>
      </c>
      <c r="B174" s="2">
        <v>46177</v>
      </c>
      <c r="C174" s="1">
        <v>46177.763922418984</v>
      </c>
      <c r="D174" s="2">
        <v>46177</v>
      </c>
      <c r="E174" s="1">
        <v>46177.753042719909</v>
      </c>
      <c r="F174" s="1">
        <v>46177.763909664354</v>
      </c>
      <c r="G174" s="1">
        <v>46184.544369398151</v>
      </c>
      <c r="H174" s="2">
        <v>46184</v>
      </c>
      <c r="I174">
        <v>11717</v>
      </c>
      <c r="J174" t="s">
        <v>44</v>
      </c>
      <c r="K174">
        <v>241736</v>
      </c>
      <c r="L174" t="s">
        <v>45</v>
      </c>
      <c r="M174" t="s">
        <v>46</v>
      </c>
      <c r="N174" t="s">
        <v>47</v>
      </c>
      <c r="O174" t="s">
        <v>732</v>
      </c>
      <c r="P174">
        <v>17361072065</v>
      </c>
      <c r="Q174" t="s">
        <v>733</v>
      </c>
      <c r="R174" t="s">
        <v>734</v>
      </c>
      <c r="S174" t="s">
        <v>735</v>
      </c>
      <c r="T174" t="s">
        <v>48</v>
      </c>
      <c r="U174" t="s">
        <v>46</v>
      </c>
      <c r="V174" t="s">
        <v>49</v>
      </c>
      <c r="W174" t="s">
        <v>50</v>
      </c>
      <c r="X174">
        <v>13.59</v>
      </c>
      <c r="Y174">
        <v>1.0900000000000001</v>
      </c>
      <c r="Z174">
        <v>0</v>
      </c>
      <c r="AA174">
        <v>-2.04</v>
      </c>
      <c r="AB174">
        <v>-0.05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12.59</v>
      </c>
      <c r="AM174">
        <v>0</v>
      </c>
      <c r="AN174">
        <v>0</v>
      </c>
      <c r="AO174">
        <v>13.59</v>
      </c>
      <c r="AP174">
        <v>0</v>
      </c>
      <c r="AQ174">
        <v>0</v>
      </c>
      <c r="AR174">
        <v>585632794</v>
      </c>
    </row>
    <row r="175" spans="1:44" x14ac:dyDescent="0.25">
      <c r="A175" s="1">
        <v>46177.966903287037</v>
      </c>
      <c r="B175" s="2">
        <v>46177</v>
      </c>
      <c r="C175" s="1">
        <v>46177.758569953701</v>
      </c>
      <c r="D175" s="2">
        <v>46177</v>
      </c>
      <c r="E175" s="1">
        <v>46177.747330196762</v>
      </c>
      <c r="F175" s="1">
        <v>46177.75855766204</v>
      </c>
      <c r="G175" s="1">
        <v>46184.544369398151</v>
      </c>
      <c r="H175" s="2">
        <v>46184</v>
      </c>
      <c r="I175">
        <v>11717</v>
      </c>
      <c r="J175" t="s">
        <v>44</v>
      </c>
      <c r="K175">
        <v>241736</v>
      </c>
      <c r="L175" t="s">
        <v>45</v>
      </c>
      <c r="M175" t="s">
        <v>46</v>
      </c>
      <c r="N175" t="s">
        <v>47</v>
      </c>
      <c r="O175" t="s">
        <v>736</v>
      </c>
      <c r="P175">
        <v>17360960946</v>
      </c>
      <c r="Q175" t="s">
        <v>737</v>
      </c>
      <c r="R175" t="s">
        <v>738</v>
      </c>
      <c r="S175" t="s">
        <v>739</v>
      </c>
      <c r="T175" t="s">
        <v>48</v>
      </c>
      <c r="U175" t="s">
        <v>46</v>
      </c>
      <c r="V175" t="s">
        <v>49</v>
      </c>
      <c r="W175" t="s">
        <v>50</v>
      </c>
      <c r="X175">
        <v>11.09</v>
      </c>
      <c r="Y175">
        <v>0.89</v>
      </c>
      <c r="Z175">
        <v>0</v>
      </c>
      <c r="AA175">
        <v>-1.66</v>
      </c>
      <c r="AB175">
        <v>-0.04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10.28</v>
      </c>
      <c r="AM175">
        <v>0</v>
      </c>
      <c r="AN175">
        <v>0</v>
      </c>
      <c r="AO175">
        <v>11.09</v>
      </c>
      <c r="AP175">
        <v>0</v>
      </c>
      <c r="AQ175">
        <v>0</v>
      </c>
      <c r="AR175">
        <v>585632794</v>
      </c>
    </row>
    <row r="176" spans="1:44" x14ac:dyDescent="0.25">
      <c r="A176" s="1">
        <v>46177.957098206018</v>
      </c>
      <c r="B176" s="2">
        <v>46177</v>
      </c>
      <c r="C176" s="1">
        <v>46177.748764872682</v>
      </c>
      <c r="D176" s="2">
        <v>46177</v>
      </c>
      <c r="E176" s="1">
        <v>46177.735303831018</v>
      </c>
      <c r="F176" s="1">
        <v>46177.748753078704</v>
      </c>
      <c r="G176" s="1">
        <v>46184.544369398151</v>
      </c>
      <c r="H176" s="2">
        <v>46184</v>
      </c>
      <c r="I176">
        <v>11717</v>
      </c>
      <c r="J176" t="s">
        <v>44</v>
      </c>
      <c r="K176">
        <v>241736</v>
      </c>
      <c r="L176" t="s">
        <v>45</v>
      </c>
      <c r="M176" t="s">
        <v>46</v>
      </c>
      <c r="N176" t="s">
        <v>47</v>
      </c>
      <c r="O176" t="s">
        <v>740</v>
      </c>
      <c r="P176">
        <v>17360746650</v>
      </c>
      <c r="Q176" t="s">
        <v>741</v>
      </c>
      <c r="R176" t="s">
        <v>742</v>
      </c>
      <c r="S176" t="s">
        <v>743</v>
      </c>
      <c r="T176" t="s">
        <v>48</v>
      </c>
      <c r="U176" t="s">
        <v>46</v>
      </c>
      <c r="V176" t="s">
        <v>49</v>
      </c>
      <c r="W176" t="s">
        <v>50</v>
      </c>
      <c r="X176">
        <v>22.18</v>
      </c>
      <c r="Y176">
        <v>1.77</v>
      </c>
      <c r="Z176">
        <v>0</v>
      </c>
      <c r="AA176">
        <v>-3.33</v>
      </c>
      <c r="AB176">
        <v>-0.09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20.53</v>
      </c>
      <c r="AM176">
        <v>0</v>
      </c>
      <c r="AN176">
        <v>0</v>
      </c>
      <c r="AO176">
        <v>22.18</v>
      </c>
      <c r="AP176">
        <v>0</v>
      </c>
      <c r="AQ176">
        <v>0</v>
      </c>
      <c r="AR176">
        <v>585632794</v>
      </c>
    </row>
    <row r="177" spans="1:44" x14ac:dyDescent="0.25">
      <c r="A177" s="1">
        <v>46177.953298831017</v>
      </c>
      <c r="B177" s="2">
        <v>46177</v>
      </c>
      <c r="C177" s="1">
        <v>46177.744965497688</v>
      </c>
      <c r="D177" s="2">
        <v>46177</v>
      </c>
      <c r="E177" s="1">
        <v>46177.734248275461</v>
      </c>
      <c r="F177" s="1">
        <v>46177.744731261577</v>
      </c>
      <c r="G177" s="1">
        <v>46184.544369398151</v>
      </c>
      <c r="H177" s="2">
        <v>46184</v>
      </c>
      <c r="I177">
        <v>11717</v>
      </c>
      <c r="J177" t="s">
        <v>44</v>
      </c>
      <c r="K177">
        <v>241736</v>
      </c>
      <c r="L177" t="s">
        <v>45</v>
      </c>
      <c r="M177" t="s">
        <v>46</v>
      </c>
      <c r="N177" t="s">
        <v>47</v>
      </c>
      <c r="O177" t="s">
        <v>744</v>
      </c>
      <c r="P177">
        <v>17360671798</v>
      </c>
      <c r="Q177" t="s">
        <v>745</v>
      </c>
      <c r="R177" t="s">
        <v>746</v>
      </c>
      <c r="S177" t="s">
        <v>747</v>
      </c>
      <c r="T177" t="s">
        <v>48</v>
      </c>
      <c r="U177" t="s">
        <v>46</v>
      </c>
      <c r="V177" t="s">
        <v>49</v>
      </c>
      <c r="W177" t="s">
        <v>50</v>
      </c>
      <c r="X177">
        <v>32.58</v>
      </c>
      <c r="Y177">
        <v>2.61</v>
      </c>
      <c r="Z177">
        <v>0</v>
      </c>
      <c r="AA177">
        <v>-4.8899999999999997</v>
      </c>
      <c r="AB177">
        <v>-0.13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30.17</v>
      </c>
      <c r="AM177">
        <v>0</v>
      </c>
      <c r="AN177">
        <v>0</v>
      </c>
      <c r="AO177">
        <v>32.58</v>
      </c>
      <c r="AP177">
        <v>0</v>
      </c>
      <c r="AQ177">
        <v>0</v>
      </c>
      <c r="AR177">
        <v>585632794</v>
      </c>
    </row>
    <row r="178" spans="1:44" x14ac:dyDescent="0.25">
      <c r="A178" s="1">
        <v>46177.942271689812</v>
      </c>
      <c r="B178" s="2">
        <v>46177</v>
      </c>
      <c r="C178" s="1">
        <v>46177.733938356483</v>
      </c>
      <c r="D178" s="2">
        <v>46177</v>
      </c>
      <c r="E178" s="1">
        <v>46177.725677152775</v>
      </c>
      <c r="F178" s="1">
        <v>46177.733925706016</v>
      </c>
      <c r="G178" s="1">
        <v>46184.544369398151</v>
      </c>
      <c r="H178" s="2">
        <v>46184</v>
      </c>
      <c r="I178">
        <v>11717</v>
      </c>
      <c r="J178" t="s">
        <v>44</v>
      </c>
      <c r="K178">
        <v>241736</v>
      </c>
      <c r="L178" t="s">
        <v>45</v>
      </c>
      <c r="M178" t="s">
        <v>46</v>
      </c>
      <c r="N178" t="s">
        <v>47</v>
      </c>
      <c r="O178" t="s">
        <v>748</v>
      </c>
      <c r="P178">
        <v>17360452602</v>
      </c>
      <c r="Q178" t="s">
        <v>749</v>
      </c>
      <c r="R178" t="s">
        <v>750</v>
      </c>
      <c r="S178" t="s">
        <v>751</v>
      </c>
      <c r="T178" t="s">
        <v>48</v>
      </c>
      <c r="U178" t="s">
        <v>46</v>
      </c>
      <c r="V178" t="s">
        <v>49</v>
      </c>
      <c r="W178" t="s">
        <v>50</v>
      </c>
      <c r="X178">
        <v>22.52</v>
      </c>
      <c r="Y178">
        <v>1.8</v>
      </c>
      <c r="Z178">
        <v>0</v>
      </c>
      <c r="AA178">
        <v>-3.38</v>
      </c>
      <c r="AB178">
        <v>-0.09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20.85</v>
      </c>
      <c r="AM178">
        <v>0</v>
      </c>
      <c r="AN178">
        <v>0</v>
      </c>
      <c r="AO178">
        <v>22.52</v>
      </c>
      <c r="AP178">
        <v>0</v>
      </c>
      <c r="AQ178">
        <v>0</v>
      </c>
      <c r="AR178">
        <v>585632794</v>
      </c>
    </row>
    <row r="179" spans="1:44" x14ac:dyDescent="0.25">
      <c r="A179" s="1">
        <v>46177.939865879627</v>
      </c>
      <c r="B179" s="2">
        <v>46177</v>
      </c>
      <c r="C179" s="1">
        <v>46177.731532546299</v>
      </c>
      <c r="D179" s="2">
        <v>46177</v>
      </c>
      <c r="E179" s="1">
        <v>46177.719451041667</v>
      </c>
      <c r="F179" s="1">
        <v>46177.731516400461</v>
      </c>
      <c r="G179" s="1">
        <v>46184.544369398151</v>
      </c>
      <c r="H179" s="2">
        <v>46184</v>
      </c>
      <c r="I179">
        <v>11717</v>
      </c>
      <c r="J179" t="s">
        <v>44</v>
      </c>
      <c r="K179">
        <v>241736</v>
      </c>
      <c r="L179" t="s">
        <v>45</v>
      </c>
      <c r="M179" t="s">
        <v>46</v>
      </c>
      <c r="N179" t="s">
        <v>47</v>
      </c>
      <c r="O179" t="s">
        <v>752</v>
      </c>
      <c r="P179">
        <v>17360405726</v>
      </c>
      <c r="Q179" t="s">
        <v>753</v>
      </c>
      <c r="R179" t="s">
        <v>754</v>
      </c>
      <c r="S179" t="s">
        <v>755</v>
      </c>
      <c r="T179" t="s">
        <v>48</v>
      </c>
      <c r="U179" t="s">
        <v>46</v>
      </c>
      <c r="V179" t="s">
        <v>49</v>
      </c>
      <c r="W179" t="s">
        <v>50</v>
      </c>
      <c r="X179">
        <v>36.049999999999997</v>
      </c>
      <c r="Y179">
        <v>2.88</v>
      </c>
      <c r="Z179">
        <v>0</v>
      </c>
      <c r="AA179">
        <v>-5.41</v>
      </c>
      <c r="AB179">
        <v>-0.14000000000000001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33.380000000000003</v>
      </c>
      <c r="AM179">
        <v>0</v>
      </c>
      <c r="AN179">
        <v>0</v>
      </c>
      <c r="AO179">
        <v>36.049999999999997</v>
      </c>
      <c r="AP179">
        <v>0</v>
      </c>
      <c r="AQ179">
        <v>0</v>
      </c>
      <c r="AR179">
        <v>585632794</v>
      </c>
    </row>
    <row r="180" spans="1:44" x14ac:dyDescent="0.25">
      <c r="A180" s="1">
        <v>46177.920504675923</v>
      </c>
      <c r="B180" s="2">
        <v>46177</v>
      </c>
      <c r="C180" s="1">
        <v>46177.712171342595</v>
      </c>
      <c r="D180" s="2">
        <v>46177</v>
      </c>
      <c r="E180" s="1">
        <v>46177.702134004627</v>
      </c>
      <c r="F180" s="1">
        <v>46177.712158171293</v>
      </c>
      <c r="G180" s="1">
        <v>46184.544369398151</v>
      </c>
      <c r="H180" s="2">
        <v>46184</v>
      </c>
      <c r="I180">
        <v>11717</v>
      </c>
      <c r="J180" t="s">
        <v>44</v>
      </c>
      <c r="K180">
        <v>241736</v>
      </c>
      <c r="L180" t="s">
        <v>45</v>
      </c>
      <c r="M180" t="s">
        <v>46</v>
      </c>
      <c r="N180" t="s">
        <v>47</v>
      </c>
      <c r="O180" t="s">
        <v>756</v>
      </c>
      <c r="P180">
        <v>17360040440</v>
      </c>
      <c r="Q180" t="s">
        <v>757</v>
      </c>
      <c r="R180" t="s">
        <v>758</v>
      </c>
      <c r="S180" t="s">
        <v>759</v>
      </c>
      <c r="T180" t="s">
        <v>48</v>
      </c>
      <c r="U180" t="s">
        <v>46</v>
      </c>
      <c r="V180" t="s">
        <v>49</v>
      </c>
      <c r="W180" t="s">
        <v>50</v>
      </c>
      <c r="X180">
        <v>41.52</v>
      </c>
      <c r="Y180">
        <v>3.32</v>
      </c>
      <c r="Z180">
        <v>0</v>
      </c>
      <c r="AA180">
        <v>-6.23</v>
      </c>
      <c r="AB180">
        <v>-0.16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38.450000000000003</v>
      </c>
      <c r="AM180">
        <v>0</v>
      </c>
      <c r="AN180">
        <v>0</v>
      </c>
      <c r="AO180">
        <v>41.52</v>
      </c>
      <c r="AP180">
        <v>0</v>
      </c>
      <c r="AQ180">
        <v>0</v>
      </c>
      <c r="AR180">
        <v>585632794</v>
      </c>
    </row>
    <row r="181" spans="1:44" x14ac:dyDescent="0.25">
      <c r="A181" s="1">
        <v>46177.915483217592</v>
      </c>
      <c r="B181" s="2">
        <v>46177</v>
      </c>
      <c r="C181" s="1">
        <v>46177.707149884256</v>
      </c>
      <c r="D181" s="2">
        <v>46177</v>
      </c>
      <c r="E181" s="1">
        <v>46177.694813032409</v>
      </c>
      <c r="F181" s="1">
        <v>46177.707138206017</v>
      </c>
      <c r="G181" s="1">
        <v>46184.544369398151</v>
      </c>
      <c r="H181" s="2">
        <v>46184</v>
      </c>
      <c r="I181">
        <v>11717</v>
      </c>
      <c r="J181" t="s">
        <v>44</v>
      </c>
      <c r="K181">
        <v>241736</v>
      </c>
      <c r="L181" t="s">
        <v>45</v>
      </c>
      <c r="M181" t="s">
        <v>46</v>
      </c>
      <c r="N181" t="s">
        <v>47</v>
      </c>
      <c r="O181" t="s">
        <v>760</v>
      </c>
      <c r="P181">
        <v>17359944503</v>
      </c>
      <c r="Q181" t="s">
        <v>761</v>
      </c>
      <c r="R181" t="s">
        <v>762</v>
      </c>
      <c r="S181" t="s">
        <v>763</v>
      </c>
      <c r="T181" t="s">
        <v>48</v>
      </c>
      <c r="U181" t="s">
        <v>46</v>
      </c>
      <c r="V181" t="s">
        <v>49</v>
      </c>
      <c r="W181" t="s">
        <v>50</v>
      </c>
      <c r="X181">
        <v>19.98</v>
      </c>
      <c r="Y181">
        <v>1.6</v>
      </c>
      <c r="Z181">
        <v>0</v>
      </c>
      <c r="AA181">
        <v>-3</v>
      </c>
      <c r="AB181">
        <v>-0.08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18.5</v>
      </c>
      <c r="AM181">
        <v>0</v>
      </c>
      <c r="AN181">
        <v>0</v>
      </c>
      <c r="AO181">
        <v>19.98</v>
      </c>
      <c r="AP181">
        <v>0</v>
      </c>
      <c r="AQ181">
        <v>0</v>
      </c>
      <c r="AR181">
        <v>585632794</v>
      </c>
    </row>
    <row r="182" spans="1:44" x14ac:dyDescent="0.25">
      <c r="A182" s="1">
        <v>46177.857202604166</v>
      </c>
      <c r="B182" s="2">
        <v>46177</v>
      </c>
      <c r="C182" s="1">
        <v>46177.64886927083</v>
      </c>
      <c r="D182" s="2">
        <v>46177</v>
      </c>
      <c r="E182" s="1">
        <v>46177.641838344905</v>
      </c>
      <c r="F182" s="1">
        <v>46177.648859537039</v>
      </c>
      <c r="G182" s="1">
        <v>46184.544369398151</v>
      </c>
      <c r="H182" s="2">
        <v>46184</v>
      </c>
      <c r="I182">
        <v>11717</v>
      </c>
      <c r="J182" t="s">
        <v>44</v>
      </c>
      <c r="K182">
        <v>241736</v>
      </c>
      <c r="L182" t="s">
        <v>45</v>
      </c>
      <c r="M182" t="s">
        <v>46</v>
      </c>
      <c r="N182" t="s">
        <v>47</v>
      </c>
      <c r="O182" t="s">
        <v>764</v>
      </c>
      <c r="P182">
        <v>17359025943</v>
      </c>
      <c r="Q182" t="s">
        <v>765</v>
      </c>
      <c r="R182" t="s">
        <v>766</v>
      </c>
      <c r="S182" t="s">
        <v>767</v>
      </c>
      <c r="T182" t="s">
        <v>48</v>
      </c>
      <c r="U182" t="s">
        <v>46</v>
      </c>
      <c r="V182" t="s">
        <v>49</v>
      </c>
      <c r="W182" t="s">
        <v>50</v>
      </c>
      <c r="X182">
        <v>13.48</v>
      </c>
      <c r="Y182">
        <v>0.65</v>
      </c>
      <c r="Z182">
        <v>0</v>
      </c>
      <c r="AA182">
        <v>-2.02</v>
      </c>
      <c r="AB182">
        <v>-0.05</v>
      </c>
      <c r="AC182">
        <v>0</v>
      </c>
      <c r="AD182">
        <v>0</v>
      </c>
      <c r="AE182">
        <v>0</v>
      </c>
      <c r="AF182">
        <v>-5.39</v>
      </c>
      <c r="AG182">
        <v>0</v>
      </c>
      <c r="AH182">
        <v>5.39</v>
      </c>
      <c r="AI182">
        <v>0</v>
      </c>
      <c r="AJ182">
        <v>0</v>
      </c>
      <c r="AK182">
        <v>0</v>
      </c>
      <c r="AL182">
        <v>12.06</v>
      </c>
      <c r="AM182">
        <v>0</v>
      </c>
      <c r="AN182">
        <v>0</v>
      </c>
      <c r="AO182">
        <v>8.09</v>
      </c>
      <c r="AP182">
        <v>0</v>
      </c>
      <c r="AQ182">
        <v>0</v>
      </c>
      <c r="AR182">
        <v>585632794</v>
      </c>
    </row>
    <row r="183" spans="1:44" x14ac:dyDescent="0.25">
      <c r="A183" s="1">
        <v>46177.761527546296</v>
      </c>
      <c r="B183" s="2">
        <v>46177</v>
      </c>
      <c r="C183" s="1">
        <v>46177.55319421296</v>
      </c>
      <c r="D183" s="2">
        <v>46177</v>
      </c>
      <c r="E183" s="1">
        <v>46177.538526979166</v>
      </c>
      <c r="F183" s="1">
        <v>46177.553182361109</v>
      </c>
      <c r="G183" s="1">
        <v>46184.544369398151</v>
      </c>
      <c r="H183" s="2">
        <v>46184</v>
      </c>
      <c r="I183">
        <v>11717</v>
      </c>
      <c r="J183" t="s">
        <v>44</v>
      </c>
      <c r="K183">
        <v>241736</v>
      </c>
      <c r="L183" t="s">
        <v>45</v>
      </c>
      <c r="M183" t="s">
        <v>46</v>
      </c>
      <c r="N183" t="s">
        <v>47</v>
      </c>
      <c r="O183" t="s">
        <v>768</v>
      </c>
      <c r="P183">
        <v>17357594122</v>
      </c>
      <c r="Q183" t="s">
        <v>769</v>
      </c>
      <c r="R183" t="s">
        <v>770</v>
      </c>
      <c r="S183" t="s">
        <v>771</v>
      </c>
      <c r="T183" t="s">
        <v>48</v>
      </c>
      <c r="U183" t="s">
        <v>46</v>
      </c>
      <c r="V183" t="s">
        <v>49</v>
      </c>
      <c r="W183" t="s">
        <v>50</v>
      </c>
      <c r="X183">
        <v>56.46</v>
      </c>
      <c r="Y183">
        <v>4.5199999999999996</v>
      </c>
      <c r="Z183">
        <v>0</v>
      </c>
      <c r="AA183">
        <v>-8.4700000000000006</v>
      </c>
      <c r="AB183">
        <v>-0.22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52.29</v>
      </c>
      <c r="AM183">
        <v>0</v>
      </c>
      <c r="AN183">
        <v>0</v>
      </c>
      <c r="AO183">
        <v>56.46</v>
      </c>
      <c r="AP183">
        <v>0</v>
      </c>
      <c r="AQ183">
        <v>0</v>
      </c>
      <c r="AR183">
        <v>585632794</v>
      </c>
    </row>
    <row r="184" spans="1:44" x14ac:dyDescent="0.25">
      <c r="A184" s="1">
        <v>46177.345099398146</v>
      </c>
      <c r="B184" s="2">
        <v>46177</v>
      </c>
      <c r="C184" s="1">
        <v>46177.136766064817</v>
      </c>
      <c r="D184" s="2">
        <v>46177</v>
      </c>
      <c r="E184" s="1">
        <v>46176.621865312503</v>
      </c>
      <c r="F184" s="1">
        <v>46176.631250740742</v>
      </c>
      <c r="G184" s="1">
        <v>46184.544369398151</v>
      </c>
      <c r="H184" s="2">
        <v>46184</v>
      </c>
      <c r="I184">
        <v>11717</v>
      </c>
      <c r="J184" t="s">
        <v>44</v>
      </c>
      <c r="K184">
        <v>241736</v>
      </c>
      <c r="L184" t="s">
        <v>45</v>
      </c>
      <c r="M184" t="s">
        <v>46</v>
      </c>
      <c r="N184" t="s">
        <v>280</v>
      </c>
      <c r="O184" t="s">
        <v>772</v>
      </c>
      <c r="P184">
        <v>17354364593</v>
      </c>
      <c r="Q184" t="s">
        <v>773</v>
      </c>
      <c r="R184" t="s">
        <v>774</v>
      </c>
      <c r="S184" t="s">
        <v>775</v>
      </c>
      <c r="T184" t="s">
        <v>48</v>
      </c>
      <c r="U184" t="s">
        <v>776</v>
      </c>
      <c r="V184" t="s">
        <v>49</v>
      </c>
      <c r="W184" t="s">
        <v>50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-2.54</v>
      </c>
      <c r="AK184">
        <v>0</v>
      </c>
      <c r="AL184">
        <v>-2.54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585632794</v>
      </c>
    </row>
    <row r="185" spans="1:44" x14ac:dyDescent="0.25">
      <c r="A185" s="1">
        <v>46176.962173263892</v>
      </c>
      <c r="B185" s="2">
        <v>46176</v>
      </c>
      <c r="C185" s="1">
        <v>46176.753839930556</v>
      </c>
      <c r="D185" s="2">
        <v>46176</v>
      </c>
      <c r="E185" s="1">
        <v>46176.745004212964</v>
      </c>
      <c r="F185" s="1">
        <v>46176.753826689812</v>
      </c>
      <c r="G185" s="1">
        <v>46184.544369398151</v>
      </c>
      <c r="H185" s="2">
        <v>46184</v>
      </c>
      <c r="I185">
        <v>11717</v>
      </c>
      <c r="J185" t="s">
        <v>44</v>
      </c>
      <c r="K185">
        <v>241736</v>
      </c>
      <c r="L185" t="s">
        <v>45</v>
      </c>
      <c r="M185" t="s">
        <v>46</v>
      </c>
      <c r="N185" t="s">
        <v>47</v>
      </c>
      <c r="O185" t="s">
        <v>777</v>
      </c>
      <c r="P185">
        <v>17349597260</v>
      </c>
      <c r="Q185" t="s">
        <v>778</v>
      </c>
      <c r="R185" t="s">
        <v>779</v>
      </c>
      <c r="S185" t="s">
        <v>780</v>
      </c>
      <c r="T185" t="s">
        <v>48</v>
      </c>
      <c r="U185" t="s">
        <v>46</v>
      </c>
      <c r="V185" t="s">
        <v>49</v>
      </c>
      <c r="W185" t="s">
        <v>50</v>
      </c>
      <c r="X185">
        <v>32.57</v>
      </c>
      <c r="Y185">
        <v>1.97</v>
      </c>
      <c r="Z185">
        <v>0</v>
      </c>
      <c r="AA185">
        <v>-3.69</v>
      </c>
      <c r="AB185">
        <v>-0.1</v>
      </c>
      <c r="AC185">
        <v>0</v>
      </c>
      <c r="AD185">
        <v>0</v>
      </c>
      <c r="AE185">
        <v>-8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22.75</v>
      </c>
      <c r="AM185">
        <v>0</v>
      </c>
      <c r="AN185">
        <v>0</v>
      </c>
      <c r="AO185">
        <v>24.57</v>
      </c>
      <c r="AP185">
        <v>0</v>
      </c>
      <c r="AQ185">
        <v>0</v>
      </c>
      <c r="AR185">
        <v>585632794</v>
      </c>
    </row>
    <row r="186" spans="1:44" x14ac:dyDescent="0.25">
      <c r="A186" s="1">
        <v>46176.83959596065</v>
      </c>
      <c r="B186" s="2">
        <v>46176</v>
      </c>
      <c r="C186" s="1">
        <v>46176.631262627314</v>
      </c>
      <c r="D186" s="2">
        <v>46176</v>
      </c>
      <c r="E186" s="1">
        <v>46176.621865312503</v>
      </c>
      <c r="F186" s="1">
        <v>46176.631250740742</v>
      </c>
      <c r="G186" s="1">
        <v>46184.544369398151</v>
      </c>
      <c r="H186" s="2">
        <v>46184</v>
      </c>
      <c r="I186">
        <v>11717</v>
      </c>
      <c r="J186" t="s">
        <v>44</v>
      </c>
      <c r="K186">
        <v>241736</v>
      </c>
      <c r="L186" t="s">
        <v>45</v>
      </c>
      <c r="M186" t="s">
        <v>46</v>
      </c>
      <c r="N186" t="s">
        <v>47</v>
      </c>
      <c r="O186" t="s">
        <v>772</v>
      </c>
      <c r="P186">
        <v>17347575157</v>
      </c>
      <c r="Q186" t="s">
        <v>773</v>
      </c>
      <c r="R186" t="s">
        <v>774</v>
      </c>
      <c r="S186" t="s">
        <v>775</v>
      </c>
      <c r="T186" t="s">
        <v>48</v>
      </c>
      <c r="U186" t="s">
        <v>46</v>
      </c>
      <c r="V186" t="s">
        <v>49</v>
      </c>
      <c r="W186" t="s">
        <v>50</v>
      </c>
      <c r="X186">
        <v>43.53</v>
      </c>
      <c r="Y186">
        <v>3.48</v>
      </c>
      <c r="Z186">
        <v>0</v>
      </c>
      <c r="AA186">
        <v>-6.53</v>
      </c>
      <c r="AB186">
        <v>-0.17</v>
      </c>
      <c r="AC186">
        <v>0</v>
      </c>
      <c r="AD186">
        <v>0</v>
      </c>
      <c r="AE186">
        <v>0</v>
      </c>
      <c r="AF186">
        <v>-2</v>
      </c>
      <c r="AG186">
        <v>0</v>
      </c>
      <c r="AH186">
        <v>2</v>
      </c>
      <c r="AI186">
        <v>0</v>
      </c>
      <c r="AJ186">
        <v>0</v>
      </c>
      <c r="AK186">
        <v>0</v>
      </c>
      <c r="AL186">
        <v>40.31</v>
      </c>
      <c r="AM186">
        <v>0</v>
      </c>
      <c r="AN186">
        <v>0</v>
      </c>
      <c r="AO186">
        <v>43.53</v>
      </c>
      <c r="AP186">
        <v>0</v>
      </c>
      <c r="AQ186">
        <v>0</v>
      </c>
      <c r="AR186">
        <v>585632794</v>
      </c>
    </row>
    <row r="187" spans="1:44" x14ac:dyDescent="0.25">
      <c r="A187" s="1">
        <v>46176.796082719906</v>
      </c>
      <c r="B187" s="2">
        <v>46176</v>
      </c>
      <c r="C187" s="1">
        <v>46176.587749386577</v>
      </c>
      <c r="D187" s="2">
        <v>46176</v>
      </c>
      <c r="E187" s="1">
        <v>46176.582068310185</v>
      </c>
      <c r="F187" s="1">
        <v>46176.587738136572</v>
      </c>
      <c r="G187" s="1">
        <v>46184.544369398151</v>
      </c>
      <c r="H187" s="2">
        <v>46184</v>
      </c>
      <c r="I187">
        <v>11717</v>
      </c>
      <c r="J187" t="s">
        <v>44</v>
      </c>
      <c r="K187">
        <v>241736</v>
      </c>
      <c r="L187" t="s">
        <v>45</v>
      </c>
      <c r="M187" t="s">
        <v>46</v>
      </c>
      <c r="N187" t="s">
        <v>47</v>
      </c>
      <c r="O187" t="s">
        <v>781</v>
      </c>
      <c r="P187">
        <v>17346957631</v>
      </c>
      <c r="Q187" t="s">
        <v>782</v>
      </c>
      <c r="R187" t="s">
        <v>783</v>
      </c>
      <c r="S187" t="s">
        <v>784</v>
      </c>
      <c r="T187" t="s">
        <v>48</v>
      </c>
      <c r="U187" t="s">
        <v>46</v>
      </c>
      <c r="V187" t="s">
        <v>49</v>
      </c>
      <c r="W187" t="s">
        <v>50</v>
      </c>
      <c r="X187">
        <v>14.99</v>
      </c>
      <c r="Y187">
        <v>1.2</v>
      </c>
      <c r="Z187">
        <v>0</v>
      </c>
      <c r="AA187">
        <v>-2.25</v>
      </c>
      <c r="AB187">
        <v>-0.06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13.88</v>
      </c>
      <c r="AM187">
        <v>0</v>
      </c>
      <c r="AN187">
        <v>0</v>
      </c>
      <c r="AO187">
        <v>14.99</v>
      </c>
      <c r="AP187">
        <v>0</v>
      </c>
      <c r="AQ187">
        <v>0</v>
      </c>
      <c r="AR187">
        <v>585632794</v>
      </c>
    </row>
    <row r="188" spans="1:44" x14ac:dyDescent="0.25">
      <c r="A188" s="1">
        <v>46176.749112488425</v>
      </c>
      <c r="B188" s="2">
        <v>46176</v>
      </c>
      <c r="C188" s="1">
        <v>46176.54077915509</v>
      </c>
      <c r="D188" s="2">
        <v>46176</v>
      </c>
      <c r="E188" s="1">
        <v>46176.534731666667</v>
      </c>
      <c r="F188" s="1">
        <v>46176.540765694444</v>
      </c>
      <c r="G188" s="1">
        <v>46184.544369398151</v>
      </c>
      <c r="H188" s="2">
        <v>46184</v>
      </c>
      <c r="I188">
        <v>11717</v>
      </c>
      <c r="J188" t="s">
        <v>44</v>
      </c>
      <c r="K188">
        <v>241736</v>
      </c>
      <c r="L188" t="s">
        <v>45</v>
      </c>
      <c r="M188" t="s">
        <v>46</v>
      </c>
      <c r="N188" t="s">
        <v>47</v>
      </c>
      <c r="O188" t="s">
        <v>785</v>
      </c>
      <c r="P188">
        <v>17346228915</v>
      </c>
      <c r="Q188" t="s">
        <v>786</v>
      </c>
      <c r="R188" t="s">
        <v>787</v>
      </c>
      <c r="S188" t="s">
        <v>788</v>
      </c>
      <c r="T188" t="s">
        <v>48</v>
      </c>
      <c r="U188" t="s">
        <v>46</v>
      </c>
      <c r="V188" t="s">
        <v>49</v>
      </c>
      <c r="W188" t="s">
        <v>50</v>
      </c>
      <c r="X188">
        <v>31.16</v>
      </c>
      <c r="Y188">
        <v>2.4900000000000002</v>
      </c>
      <c r="Z188">
        <v>0</v>
      </c>
      <c r="AA188">
        <v>-4.67</v>
      </c>
      <c r="AB188">
        <v>-0.12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28.86</v>
      </c>
      <c r="AM188">
        <v>0</v>
      </c>
      <c r="AN188">
        <v>0</v>
      </c>
      <c r="AO188">
        <v>31.16</v>
      </c>
      <c r="AP188">
        <v>0</v>
      </c>
      <c r="AQ188">
        <v>0</v>
      </c>
      <c r="AR188">
        <v>585632794</v>
      </c>
    </row>
    <row r="189" spans="1:44" x14ac:dyDescent="0.25">
      <c r="A189" s="1">
        <v>46176.728584085649</v>
      </c>
      <c r="B189" s="2">
        <v>46176</v>
      </c>
      <c r="C189" s="1">
        <v>46176.520250752314</v>
      </c>
      <c r="D189" s="2">
        <v>46176</v>
      </c>
      <c r="E189" s="1">
        <v>46176.51314195602</v>
      </c>
      <c r="F189" s="1">
        <v>46176.520239201389</v>
      </c>
      <c r="G189" s="1">
        <v>46184.544369398151</v>
      </c>
      <c r="H189" s="2">
        <v>46184</v>
      </c>
      <c r="I189">
        <v>11717</v>
      </c>
      <c r="J189" t="s">
        <v>44</v>
      </c>
      <c r="K189">
        <v>241736</v>
      </c>
      <c r="L189" t="s">
        <v>45</v>
      </c>
      <c r="M189" t="s">
        <v>46</v>
      </c>
      <c r="N189" t="s">
        <v>47</v>
      </c>
      <c r="O189" t="s">
        <v>789</v>
      </c>
      <c r="P189">
        <v>17345902560</v>
      </c>
      <c r="Q189" t="s">
        <v>790</v>
      </c>
      <c r="R189" t="s">
        <v>791</v>
      </c>
      <c r="S189" t="s">
        <v>792</v>
      </c>
      <c r="T189" t="s">
        <v>48</v>
      </c>
      <c r="U189" t="s">
        <v>46</v>
      </c>
      <c r="V189" t="s">
        <v>49</v>
      </c>
      <c r="W189" t="s">
        <v>50</v>
      </c>
      <c r="X189">
        <v>31.67</v>
      </c>
      <c r="Y189">
        <v>2.5299999999999998</v>
      </c>
      <c r="Z189">
        <v>0</v>
      </c>
      <c r="AA189">
        <v>-4.75</v>
      </c>
      <c r="AB189">
        <v>-0.13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29.32</v>
      </c>
      <c r="AM189">
        <v>0</v>
      </c>
      <c r="AN189">
        <v>0</v>
      </c>
      <c r="AO189">
        <v>31.67</v>
      </c>
      <c r="AP189">
        <v>0</v>
      </c>
      <c r="AQ189">
        <v>0</v>
      </c>
      <c r="AR189">
        <v>585632794</v>
      </c>
    </row>
    <row r="190" spans="1:44" x14ac:dyDescent="0.25">
      <c r="A190" s="1">
        <v>46176.037565324077</v>
      </c>
      <c r="B190" s="2">
        <v>46176</v>
      </c>
      <c r="C190" s="1">
        <v>46175.829231990741</v>
      </c>
      <c r="D190" s="2">
        <v>46175</v>
      </c>
      <c r="E190" s="1">
        <v>46175.761758483794</v>
      </c>
      <c r="F190" s="1">
        <v>46175.829223078705</v>
      </c>
      <c r="G190" s="1">
        <v>46184.544369398151</v>
      </c>
      <c r="H190" s="2">
        <v>46184</v>
      </c>
      <c r="I190">
        <v>11717</v>
      </c>
      <c r="J190" t="s">
        <v>44</v>
      </c>
      <c r="K190">
        <v>241736</v>
      </c>
      <c r="L190" t="s">
        <v>45</v>
      </c>
      <c r="M190" t="s">
        <v>46</v>
      </c>
      <c r="N190" t="s">
        <v>47</v>
      </c>
      <c r="O190" t="s">
        <v>793</v>
      </c>
      <c r="P190">
        <v>17340427022</v>
      </c>
      <c r="Q190" t="s">
        <v>794</v>
      </c>
      <c r="R190" t="s">
        <v>795</v>
      </c>
      <c r="S190" t="s">
        <v>796</v>
      </c>
      <c r="T190" t="s">
        <v>48</v>
      </c>
      <c r="U190" t="s">
        <v>46</v>
      </c>
      <c r="V190" t="s">
        <v>51</v>
      </c>
      <c r="W190" t="s">
        <v>50</v>
      </c>
      <c r="X190">
        <v>42.06</v>
      </c>
      <c r="Y190">
        <v>3.36</v>
      </c>
      <c r="Z190">
        <v>0</v>
      </c>
      <c r="AA190">
        <v>-2.52</v>
      </c>
      <c r="AB190">
        <v>-0.17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42.73</v>
      </c>
      <c r="AM190">
        <v>0</v>
      </c>
      <c r="AN190">
        <v>0</v>
      </c>
      <c r="AO190">
        <v>42.06</v>
      </c>
      <c r="AP190">
        <v>0</v>
      </c>
      <c r="AQ190">
        <v>0</v>
      </c>
      <c r="AR190">
        <v>585632794</v>
      </c>
    </row>
    <row r="191" spans="1:44" x14ac:dyDescent="0.25">
      <c r="A191" s="1">
        <v>46175.996593402779</v>
      </c>
      <c r="B191" s="2">
        <v>46175</v>
      </c>
      <c r="C191" s="1">
        <v>46175.788260069443</v>
      </c>
      <c r="D191" s="2">
        <v>46175</v>
      </c>
      <c r="E191" s="1">
        <v>46175.773451041663</v>
      </c>
      <c r="F191" s="1">
        <v>46175.788243449075</v>
      </c>
      <c r="G191" s="1">
        <v>46184.544369398151</v>
      </c>
      <c r="H191" s="2">
        <v>46184</v>
      </c>
      <c r="I191">
        <v>11717</v>
      </c>
      <c r="J191" t="s">
        <v>44</v>
      </c>
      <c r="K191">
        <v>241736</v>
      </c>
      <c r="L191" t="s">
        <v>45</v>
      </c>
      <c r="M191" t="s">
        <v>46</v>
      </c>
      <c r="N191" t="s">
        <v>47</v>
      </c>
      <c r="O191" t="s">
        <v>797</v>
      </c>
      <c r="P191">
        <v>17339562350</v>
      </c>
      <c r="Q191" t="s">
        <v>798</v>
      </c>
      <c r="R191" t="s">
        <v>799</v>
      </c>
      <c r="S191" t="s">
        <v>800</v>
      </c>
      <c r="T191" t="s">
        <v>48</v>
      </c>
      <c r="U191" t="s">
        <v>46</v>
      </c>
      <c r="V191" t="s">
        <v>49</v>
      </c>
      <c r="W191" t="s">
        <v>50</v>
      </c>
      <c r="X191">
        <v>37.22</v>
      </c>
      <c r="Y191">
        <v>2.38</v>
      </c>
      <c r="Z191">
        <v>0</v>
      </c>
      <c r="AA191">
        <v>-5.58</v>
      </c>
      <c r="AB191">
        <v>-0.15</v>
      </c>
      <c r="AC191">
        <v>0</v>
      </c>
      <c r="AD191">
        <v>0</v>
      </c>
      <c r="AE191">
        <v>0</v>
      </c>
      <c r="AF191">
        <v>-7.44</v>
      </c>
      <c r="AG191">
        <v>0</v>
      </c>
      <c r="AH191">
        <v>7.44</v>
      </c>
      <c r="AI191">
        <v>0</v>
      </c>
      <c r="AJ191">
        <v>0</v>
      </c>
      <c r="AK191">
        <v>0</v>
      </c>
      <c r="AL191">
        <v>33.869999999999997</v>
      </c>
      <c r="AM191">
        <v>0</v>
      </c>
      <c r="AN191">
        <v>0</v>
      </c>
      <c r="AO191">
        <v>29.78</v>
      </c>
      <c r="AP191">
        <v>0</v>
      </c>
      <c r="AQ191">
        <v>0</v>
      </c>
      <c r="AR191">
        <v>585632794</v>
      </c>
    </row>
    <row r="192" spans="1:44" x14ac:dyDescent="0.25">
      <c r="A192" s="1">
        <v>46175.975880694445</v>
      </c>
      <c r="B192" s="2">
        <v>46175</v>
      </c>
      <c r="C192" s="1">
        <v>46175.767547361109</v>
      </c>
      <c r="D192" s="2">
        <v>46175</v>
      </c>
      <c r="E192" s="1">
        <v>46175.701531250001</v>
      </c>
      <c r="F192" s="1">
        <v>46175.76753798611</v>
      </c>
      <c r="G192" s="1">
        <v>46184.544369398151</v>
      </c>
      <c r="H192" s="2">
        <v>46184</v>
      </c>
      <c r="I192">
        <v>11717</v>
      </c>
      <c r="J192" t="s">
        <v>44</v>
      </c>
      <c r="K192">
        <v>241736</v>
      </c>
      <c r="L192" t="s">
        <v>45</v>
      </c>
      <c r="M192" t="s">
        <v>46</v>
      </c>
      <c r="N192" t="s">
        <v>47</v>
      </c>
      <c r="O192" t="s">
        <v>801</v>
      </c>
      <c r="P192">
        <v>17339135464</v>
      </c>
      <c r="Q192" t="s">
        <v>802</v>
      </c>
      <c r="R192" t="s">
        <v>803</v>
      </c>
      <c r="S192" t="s">
        <v>804</v>
      </c>
      <c r="T192" t="s">
        <v>48</v>
      </c>
      <c r="U192" t="s">
        <v>46</v>
      </c>
      <c r="V192" t="s">
        <v>51</v>
      </c>
      <c r="W192" t="s">
        <v>50</v>
      </c>
      <c r="X192">
        <v>33.86</v>
      </c>
      <c r="Y192">
        <v>2.71</v>
      </c>
      <c r="Z192">
        <v>3.65</v>
      </c>
      <c r="AA192">
        <v>-2.0299999999999998</v>
      </c>
      <c r="AB192">
        <v>-0.13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38.06</v>
      </c>
      <c r="AM192">
        <v>0</v>
      </c>
      <c r="AN192">
        <v>0</v>
      </c>
      <c r="AO192">
        <v>33.86</v>
      </c>
      <c r="AP192">
        <v>0</v>
      </c>
      <c r="AQ192">
        <v>0</v>
      </c>
      <c r="AR192">
        <v>585632794</v>
      </c>
    </row>
    <row r="193" spans="1:44" x14ac:dyDescent="0.25">
      <c r="A193" s="1">
        <v>46175.726483645834</v>
      </c>
      <c r="B193" s="2">
        <v>46175</v>
      </c>
      <c r="C193" s="1">
        <v>46175.518150312499</v>
      </c>
      <c r="D193" s="2">
        <v>46175</v>
      </c>
      <c r="E193" s="1">
        <v>46175.510429675924</v>
      </c>
      <c r="F193" s="1">
        <v>46175.51813892361</v>
      </c>
      <c r="G193" s="1">
        <v>46184.544369398151</v>
      </c>
      <c r="H193" s="2">
        <v>46184</v>
      </c>
      <c r="I193">
        <v>11717</v>
      </c>
      <c r="J193" t="s">
        <v>44</v>
      </c>
      <c r="K193">
        <v>241736</v>
      </c>
      <c r="L193" t="s">
        <v>45</v>
      </c>
      <c r="M193" t="s">
        <v>46</v>
      </c>
      <c r="N193" t="s">
        <v>47</v>
      </c>
      <c r="O193" t="s">
        <v>805</v>
      </c>
      <c r="P193">
        <v>17335254888</v>
      </c>
      <c r="Q193" t="s">
        <v>806</v>
      </c>
      <c r="R193" t="s">
        <v>807</v>
      </c>
      <c r="S193" t="s">
        <v>808</v>
      </c>
      <c r="T193" t="s">
        <v>48</v>
      </c>
      <c r="U193" t="s">
        <v>46</v>
      </c>
      <c r="V193" t="s">
        <v>49</v>
      </c>
      <c r="W193" t="s">
        <v>50</v>
      </c>
      <c r="X193">
        <v>13.48</v>
      </c>
      <c r="Y193">
        <v>1.08</v>
      </c>
      <c r="Z193">
        <v>0</v>
      </c>
      <c r="AA193">
        <v>-2.02</v>
      </c>
      <c r="AB193">
        <v>-0.05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12.49</v>
      </c>
      <c r="AM193">
        <v>0</v>
      </c>
      <c r="AN193">
        <v>0</v>
      </c>
      <c r="AO193">
        <v>13.48</v>
      </c>
      <c r="AP193">
        <v>0</v>
      </c>
      <c r="AQ193">
        <v>0</v>
      </c>
      <c r="AR193">
        <v>585632794</v>
      </c>
    </row>
    <row r="194" spans="1:44" x14ac:dyDescent="0.25">
      <c r="A194" s="1">
        <v>46174.996246944444</v>
      </c>
      <c r="B194" s="2">
        <v>46174</v>
      </c>
      <c r="C194" s="1">
        <v>46174.787913611108</v>
      </c>
      <c r="D194" s="2">
        <v>46174</v>
      </c>
      <c r="E194" s="1">
        <v>46174.720576562497</v>
      </c>
      <c r="F194" s="1">
        <v>46174.787902430558</v>
      </c>
      <c r="G194" s="1">
        <v>46184.544369398151</v>
      </c>
      <c r="H194" s="2">
        <v>46184</v>
      </c>
      <c r="I194">
        <v>11717</v>
      </c>
      <c r="J194" t="s">
        <v>44</v>
      </c>
      <c r="K194">
        <v>241736</v>
      </c>
      <c r="L194" t="s">
        <v>45</v>
      </c>
      <c r="M194" t="s">
        <v>46</v>
      </c>
      <c r="N194" t="s">
        <v>47</v>
      </c>
      <c r="O194" t="s">
        <v>809</v>
      </c>
      <c r="P194">
        <v>17329117625</v>
      </c>
      <c r="Q194" t="s">
        <v>810</v>
      </c>
      <c r="R194" t="s">
        <v>811</v>
      </c>
      <c r="S194" t="s">
        <v>812</v>
      </c>
      <c r="T194" t="s">
        <v>48</v>
      </c>
      <c r="U194" t="s">
        <v>46</v>
      </c>
      <c r="V194" t="s">
        <v>51</v>
      </c>
      <c r="W194" t="s">
        <v>50</v>
      </c>
      <c r="X194">
        <v>32.22</v>
      </c>
      <c r="Y194">
        <v>2.1800000000000002</v>
      </c>
      <c r="Z194">
        <v>0</v>
      </c>
      <c r="AA194">
        <v>-1.93</v>
      </c>
      <c r="AB194">
        <v>-0.13</v>
      </c>
      <c r="AC194">
        <v>0</v>
      </c>
      <c r="AD194">
        <v>0</v>
      </c>
      <c r="AE194">
        <v>0</v>
      </c>
      <c r="AF194">
        <v>-5</v>
      </c>
      <c r="AG194">
        <v>0</v>
      </c>
      <c r="AH194">
        <v>5</v>
      </c>
      <c r="AI194">
        <v>0</v>
      </c>
      <c r="AJ194">
        <v>0</v>
      </c>
      <c r="AK194">
        <v>0</v>
      </c>
      <c r="AL194">
        <v>32.340000000000003</v>
      </c>
      <c r="AM194">
        <v>0</v>
      </c>
      <c r="AN194">
        <v>0</v>
      </c>
      <c r="AO194">
        <v>27.22</v>
      </c>
      <c r="AP194">
        <v>0</v>
      </c>
      <c r="AQ194">
        <v>0</v>
      </c>
      <c r="AR194">
        <v>585632794</v>
      </c>
    </row>
    <row r="195" spans="1:44" x14ac:dyDescent="0.25">
      <c r="A195" s="1">
        <v>46174.859843217593</v>
      </c>
      <c r="B195" s="2">
        <v>46174</v>
      </c>
      <c r="C195" s="1">
        <v>46174.651509884257</v>
      </c>
      <c r="D195" s="2">
        <v>46174</v>
      </c>
      <c r="E195" s="1">
        <v>46174.643484722219</v>
      </c>
      <c r="F195" s="1">
        <v>46174.651498935185</v>
      </c>
      <c r="G195" s="1">
        <v>46184.544369398151</v>
      </c>
      <c r="H195" s="2">
        <v>46184</v>
      </c>
      <c r="I195">
        <v>11717</v>
      </c>
      <c r="J195" t="s">
        <v>44</v>
      </c>
      <c r="K195">
        <v>241736</v>
      </c>
      <c r="L195" t="s">
        <v>45</v>
      </c>
      <c r="M195" t="s">
        <v>46</v>
      </c>
      <c r="N195" t="s">
        <v>47</v>
      </c>
      <c r="O195" t="s">
        <v>813</v>
      </c>
      <c r="P195">
        <v>17326793385</v>
      </c>
      <c r="Q195" t="s">
        <v>814</v>
      </c>
      <c r="R195" t="s">
        <v>815</v>
      </c>
      <c r="S195" t="s">
        <v>816</v>
      </c>
      <c r="T195" t="s">
        <v>48</v>
      </c>
      <c r="U195" t="s">
        <v>46</v>
      </c>
      <c r="V195" t="s">
        <v>49</v>
      </c>
      <c r="W195" t="s">
        <v>50</v>
      </c>
      <c r="X195">
        <v>24.27</v>
      </c>
      <c r="Y195">
        <v>1.94</v>
      </c>
      <c r="Z195">
        <v>0</v>
      </c>
      <c r="AA195">
        <v>-3.64</v>
      </c>
      <c r="AB195">
        <v>-0.1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22.47</v>
      </c>
      <c r="AM195">
        <v>0</v>
      </c>
      <c r="AN195">
        <v>0</v>
      </c>
      <c r="AO195">
        <v>24.27</v>
      </c>
      <c r="AP195">
        <v>0</v>
      </c>
      <c r="AQ195">
        <v>0</v>
      </c>
      <c r="AR195">
        <v>585632794</v>
      </c>
    </row>
    <row r="196" spans="1:44" x14ac:dyDescent="0.25">
      <c r="A196" s="1">
        <v>46174.789242673614</v>
      </c>
      <c r="B196" s="2">
        <v>46174</v>
      </c>
      <c r="C196" s="1">
        <v>46174.580909340279</v>
      </c>
      <c r="D196" s="2">
        <v>46174</v>
      </c>
      <c r="E196" s="1">
        <v>46174.571943680552</v>
      </c>
      <c r="F196" s="1">
        <v>46174.580899155095</v>
      </c>
      <c r="G196" s="1">
        <v>46184.544369398151</v>
      </c>
      <c r="H196" s="2">
        <v>46184</v>
      </c>
      <c r="I196">
        <v>11717</v>
      </c>
      <c r="J196" t="s">
        <v>44</v>
      </c>
      <c r="K196">
        <v>241736</v>
      </c>
      <c r="L196" t="s">
        <v>45</v>
      </c>
      <c r="M196" t="s">
        <v>46</v>
      </c>
      <c r="N196" t="s">
        <v>47</v>
      </c>
      <c r="O196" t="s">
        <v>817</v>
      </c>
      <c r="P196">
        <v>17325797237</v>
      </c>
      <c r="Q196" t="s">
        <v>818</v>
      </c>
      <c r="R196" t="s">
        <v>819</v>
      </c>
      <c r="S196" t="s">
        <v>820</v>
      </c>
      <c r="T196" t="s">
        <v>48</v>
      </c>
      <c r="U196" t="s">
        <v>46</v>
      </c>
      <c r="V196" t="s">
        <v>49</v>
      </c>
      <c r="W196" t="s">
        <v>50</v>
      </c>
      <c r="X196">
        <v>11.99</v>
      </c>
      <c r="Y196">
        <v>0.96</v>
      </c>
      <c r="Z196">
        <v>0</v>
      </c>
      <c r="AA196">
        <v>-1.8</v>
      </c>
      <c r="AB196">
        <v>-0.05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11.1</v>
      </c>
      <c r="AM196">
        <v>0</v>
      </c>
      <c r="AN196">
        <v>0</v>
      </c>
      <c r="AO196">
        <v>11.99</v>
      </c>
      <c r="AP196">
        <v>0</v>
      </c>
      <c r="AQ196">
        <v>0</v>
      </c>
      <c r="AR196">
        <v>585632794</v>
      </c>
    </row>
    <row r="197" spans="1:44" x14ac:dyDescent="0.25">
      <c r="A197" s="1">
        <v>46174.724036782405</v>
      </c>
      <c r="B197" s="2">
        <v>46174</v>
      </c>
      <c r="C197" s="1">
        <v>46174.515703449077</v>
      </c>
      <c r="D197" s="2">
        <v>46174</v>
      </c>
      <c r="E197" s="1">
        <v>46174.504963634259</v>
      </c>
      <c r="F197" s="1">
        <v>46174.515691342589</v>
      </c>
      <c r="G197" s="1">
        <v>46184.544369398151</v>
      </c>
      <c r="H197" s="2">
        <v>46184</v>
      </c>
      <c r="I197">
        <v>11717</v>
      </c>
      <c r="J197" t="s">
        <v>44</v>
      </c>
      <c r="K197">
        <v>241736</v>
      </c>
      <c r="L197" t="s">
        <v>45</v>
      </c>
      <c r="M197" t="s">
        <v>46</v>
      </c>
      <c r="N197" t="s">
        <v>47</v>
      </c>
      <c r="O197" t="s">
        <v>821</v>
      </c>
      <c r="P197">
        <v>17324835924</v>
      </c>
      <c r="Q197" t="s">
        <v>822</v>
      </c>
      <c r="R197" t="s">
        <v>823</v>
      </c>
      <c r="S197" t="s">
        <v>824</v>
      </c>
      <c r="T197" t="s">
        <v>48</v>
      </c>
      <c r="U197" t="s">
        <v>46</v>
      </c>
      <c r="V197" t="s">
        <v>49</v>
      </c>
      <c r="W197" t="s">
        <v>50</v>
      </c>
      <c r="X197">
        <v>16.48</v>
      </c>
      <c r="Y197">
        <v>0.68</v>
      </c>
      <c r="Z197">
        <v>0</v>
      </c>
      <c r="AA197">
        <v>-1.27</v>
      </c>
      <c r="AB197">
        <v>-0.03</v>
      </c>
      <c r="AC197">
        <v>0</v>
      </c>
      <c r="AD197">
        <v>0</v>
      </c>
      <c r="AE197">
        <v>-8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7.86</v>
      </c>
      <c r="AM197">
        <v>0</v>
      </c>
      <c r="AN197">
        <v>0</v>
      </c>
      <c r="AO197">
        <v>8.48</v>
      </c>
      <c r="AP197">
        <v>0</v>
      </c>
      <c r="AQ197">
        <v>0</v>
      </c>
      <c r="AR197">
        <v>585632794</v>
      </c>
    </row>
    <row r="199" spans="1:44" x14ac:dyDescent="0.25">
      <c r="X199">
        <f>SUM(Table2[Subtotal])</f>
        <v>5709.0899999999938</v>
      </c>
      <c r="Y199">
        <f>SUM(Table2[Subtotal tax passed to merchant])</f>
        <v>432.69999999999953</v>
      </c>
      <c r="Z199">
        <f>SUM(Table2[Staff tip])</f>
        <v>52.339999999999996</v>
      </c>
      <c r="AA199">
        <f>SUM(Table2[Commission])</f>
        <v>-721.09000000000015</v>
      </c>
      <c r="AB199">
        <f>SUM(Table2[Commission tax])</f>
        <v>-21.470000000000002</v>
      </c>
      <c r="AC199">
        <f>SUM(Table2[Payment processing fee])</f>
        <v>0</v>
      </c>
      <c r="AD199">
        <f>SUM(Table2[Marketing fees | (including any applicable taxes)])</f>
        <v>0</v>
      </c>
      <c r="AE199">
        <f>SUM(Table2[Customer discounts from marketing | (funded by you)])</f>
        <v>-256</v>
      </c>
      <c r="AF199">
        <f>SUM(Table2[Customer discounts from marketing | (funded by DoorDash)])</f>
        <v>-68.78</v>
      </c>
      <c r="AG199">
        <f>SUM(Table2[Customer discounts from marketing | (funded by a third-party)])</f>
        <v>0</v>
      </c>
      <c r="AH199">
        <f>SUM(Table2[DoorDash marketing credit])</f>
        <v>68.78</v>
      </c>
      <c r="AI199">
        <f>SUM(Table2[Third-party contribution])</f>
        <v>0</v>
      </c>
      <c r="AJ199">
        <f>SUM(Table2[Error charges])</f>
        <v>-13.779999999999998</v>
      </c>
      <c r="AK199">
        <f>SUM(Table2[Adjustments])</f>
        <v>0</v>
      </c>
      <c r="AL199">
        <f>SUM(Table2[Net total])</f>
        <v>5181.7900000000009</v>
      </c>
      <c r="AM199">
        <f>SUM(Table2[Pre-adjusted subtotal])</f>
        <v>0</v>
      </c>
      <c r="AN199">
        <f>SUM(Table2[Pre-adjusted tax subtotal])</f>
        <v>0</v>
      </c>
      <c r="AO199">
        <f>SUM(Table2[Subtotal for tax])</f>
        <v>5407.2799999999952</v>
      </c>
    </row>
    <row r="202" spans="1:44" x14ac:dyDescent="0.25">
      <c r="Y202" s="4" t="s">
        <v>825</v>
      </c>
      <c r="Z202" t="s">
        <v>827</v>
      </c>
      <c r="AA202" t="s">
        <v>828</v>
      </c>
      <c r="AB202" t="s">
        <v>829</v>
      </c>
      <c r="AC202" t="s">
        <v>830</v>
      </c>
      <c r="AD202" t="s">
        <v>831</v>
      </c>
      <c r="AE202" t="s">
        <v>832</v>
      </c>
      <c r="AF202" t="s">
        <v>833</v>
      </c>
      <c r="AG202" t="s">
        <v>834</v>
      </c>
      <c r="AH202" t="s">
        <v>835</v>
      </c>
      <c r="AI202" t="s">
        <v>836</v>
      </c>
    </row>
    <row r="203" spans="1:44" x14ac:dyDescent="0.25">
      <c r="Y203" s="5" t="s">
        <v>49</v>
      </c>
      <c r="Z203" s="6">
        <v>4608.1099999999969</v>
      </c>
      <c r="AA203" s="6">
        <v>346.90999999999957</v>
      </c>
      <c r="AB203" s="6">
        <v>0</v>
      </c>
      <c r="AC203" s="6">
        <v>-656.4699999999998</v>
      </c>
      <c r="AD203" s="6">
        <v>-17.220000000000002</v>
      </c>
      <c r="AE203" s="6">
        <v>4035.55</v>
      </c>
      <c r="AF203" s="6">
        <v>-232</v>
      </c>
      <c r="AG203" s="6">
        <v>-63.78</v>
      </c>
      <c r="AH203" s="6">
        <v>63.78</v>
      </c>
      <c r="AI203" s="6">
        <v>-13.779999999999998</v>
      </c>
    </row>
    <row r="204" spans="1:44" x14ac:dyDescent="0.25">
      <c r="Y204" s="5" t="s">
        <v>51</v>
      </c>
      <c r="Z204" s="6">
        <v>1100.9800000000002</v>
      </c>
      <c r="AA204" s="6">
        <v>85.79</v>
      </c>
      <c r="AB204" s="6">
        <v>52.339999999999996</v>
      </c>
      <c r="AC204" s="6">
        <v>-64.620000000000019</v>
      </c>
      <c r="AD204" s="6">
        <v>-4.25</v>
      </c>
      <c r="AE204" s="6">
        <v>1146.2399999999998</v>
      </c>
      <c r="AF204" s="6">
        <v>-24</v>
      </c>
      <c r="AG204" s="6">
        <v>-5</v>
      </c>
      <c r="AH204" s="6">
        <v>5</v>
      </c>
      <c r="AI204" s="6">
        <v>0</v>
      </c>
    </row>
    <row r="205" spans="1:44" x14ac:dyDescent="0.25">
      <c r="Y205" s="5" t="s">
        <v>826</v>
      </c>
      <c r="Z205" s="6">
        <v>5709.0899999999974</v>
      </c>
      <c r="AA205" s="6">
        <v>432.69999999999959</v>
      </c>
      <c r="AB205" s="6">
        <v>52.339999999999996</v>
      </c>
      <c r="AC205" s="6">
        <v>-721.0899999999998</v>
      </c>
      <c r="AD205" s="6">
        <v>-21.470000000000002</v>
      </c>
      <c r="AE205" s="6">
        <v>5181.79</v>
      </c>
      <c r="AF205" s="6">
        <v>-256</v>
      </c>
      <c r="AG205" s="6">
        <v>-68.78</v>
      </c>
      <c r="AH205" s="6">
        <v>68.78</v>
      </c>
      <c r="AI205" s="6">
        <v>-13.779999999999998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Doordash Settlement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2026-09-02T11:13:37Z</dcterms:created>
  <dcterms:modified xsi:type="dcterms:W3CDTF">2026-09-02T11:23:42Z</dcterms:modified>
</cp:coreProperties>
</file>